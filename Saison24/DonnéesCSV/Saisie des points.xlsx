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isie" sheetId="1" state="visible" r:id="rId3"/>
    <sheet name="tblÉquipes" sheetId="2" state="visible" r:id="rId4"/>
    <sheet name="tblJoueurs" sheetId="3" state="visible" r:id="rId5"/>
    <sheet name="Feuil2" sheetId="4" state="visible" r:id="rId6"/>
  </sheets>
  <definedNames>
    <definedName function="false" hidden="false" localSheetId="3" name="tblJoueurs_1" vbProcedure="false">Feuil2!$A$1:$H$73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<sst xmlns="http://schemas.openxmlformats.org/spreadsheetml/2006/main" count="655" uniqueCount="153">
  <si>
    <t xml:space="preserve">Saisi des points</t>
  </si>
  <si>
    <t xml:space="preserve">Format tblRépondantsParJoueurs</t>
  </si>
  <si>
    <t xml:space="preserve">Format CSV</t>
  </si>
  <si>
    <t xml:space="preserve"># partie</t>
  </si>
  <si>
    <t xml:space="preserve">Équipe A</t>
  </si>
  <si>
    <t xml:space="preserve">Les Herbizarres</t>
  </si>
  <si>
    <t xml:space="preserve">NoPartie</t>
  </si>
  <si>
    <t xml:space="preserve">NoÉquipe</t>
  </si>
  <si>
    <t xml:space="preserve">NoJoueur</t>
  </si>
  <si>
    <t xml:space="preserve">Points</t>
  </si>
  <si>
    <t xml:space="preserve">Équipe B</t>
  </si>
  <si>
    <t xml:space="preserve">Les Méthos précieux</t>
  </si>
  <si>
    <t xml:space="preserve">Nom</t>
  </si>
  <si>
    <t xml:space="preserve">Copie avec les bonnes colonnes</t>
  </si>
  <si>
    <t xml:space="preserve">NomÉquipe</t>
  </si>
  <si>
    <t xml:space="preserve">PosFinale</t>
  </si>
  <si>
    <t xml:space="preserve">Carillon</t>
  </si>
  <si>
    <t xml:space="preserve">NoÉquipe2</t>
  </si>
  <si>
    <t xml:space="preserve">Les Génies de la traduction</t>
  </si>
  <si>
    <t xml:space="preserve">NA</t>
  </si>
  <si>
    <t xml:space="preserve">Les Bons Perdants</t>
  </si>
  <si>
    <t xml:space="preserve">Les érudits en gerbe</t>
  </si>
  <si>
    <t xml:space="preserve">Les 12e meilleurs</t>
  </si>
  <si>
    <t xml:space="preserve">Les Faciles à cuire</t>
  </si>
  <si>
    <t xml:space="preserve">NomJoueur</t>
  </si>
  <si>
    <t xml:space="preserve">PrénomJoueur</t>
  </si>
  <si>
    <t xml:space="preserve">Alias</t>
  </si>
  <si>
    <t xml:space="preserve">Statut</t>
  </si>
  <si>
    <t xml:space="preserve">Icône</t>
  </si>
  <si>
    <t xml:space="preserve">PosActuelle</t>
  </si>
  <si>
    <t xml:space="preserve">NoJoueur2</t>
  </si>
  <si>
    <t xml:space="preserve">Nom complet</t>
  </si>
  <si>
    <t xml:space="preserve">Audet-Brazeau</t>
  </si>
  <si>
    <t xml:space="preserve">Stéphanie</t>
  </si>
  <si>
    <t xml:space="preserve">Capitaine</t>
  </si>
  <si>
    <t xml:space="preserve">Colpron</t>
  </si>
  <si>
    <t xml:space="preserve">Julia</t>
  </si>
  <si>
    <t xml:space="preserve">Régulier</t>
  </si>
  <si>
    <t xml:space="preserve">Gamache</t>
  </si>
  <si>
    <t xml:space="preserve">Isabelle</t>
  </si>
  <si>
    <t xml:space="preserve">Lachance</t>
  </si>
  <si>
    <t xml:space="preserve">Catherine</t>
  </si>
  <si>
    <t xml:space="preserve">Vilandré</t>
  </si>
  <si>
    <t xml:space="preserve">Francis</t>
  </si>
  <si>
    <t xml:space="preserve">Sarrazin</t>
  </si>
  <si>
    <t xml:space="preserve">Julie</t>
  </si>
  <si>
    <t xml:space="preserve">Absent</t>
  </si>
  <si>
    <t xml:space="preserve">Remplaçant</t>
  </si>
  <si>
    <t xml:space="preserve">Fougères</t>
  </si>
  <si>
    <t xml:space="preserve">Émilie</t>
  </si>
  <si>
    <t xml:space="preserve">Loiselle</t>
  </si>
  <si>
    <t xml:space="preserve">Marc-Olivier</t>
  </si>
  <si>
    <t xml:space="preserve">Sarrette</t>
  </si>
  <si>
    <t xml:space="preserve">Christian Frédéric</t>
  </si>
  <si>
    <t xml:space="preserve">Équipe</t>
  </si>
  <si>
    <t xml:space="preserve">Boisvert</t>
  </si>
  <si>
    <t xml:space="preserve">Steeve</t>
  </si>
  <si>
    <t xml:space="preserve">Perreault</t>
  </si>
  <si>
    <t xml:space="preserve">Samuel</t>
  </si>
  <si>
    <t xml:space="preserve">Baillargeon</t>
  </si>
  <si>
    <t xml:space="preserve">Jonathan</t>
  </si>
  <si>
    <t xml:space="preserve">Hardy</t>
  </si>
  <si>
    <t xml:space="preserve">Vincent</t>
  </si>
  <si>
    <t xml:space="preserve">Paquin</t>
  </si>
  <si>
    <t xml:space="preserve">Nicole</t>
  </si>
  <si>
    <t xml:space="preserve">Assoumou</t>
  </si>
  <si>
    <t xml:space="preserve">Franklin</t>
  </si>
  <si>
    <t xml:space="preserve">Sarrasin</t>
  </si>
  <si>
    <t xml:space="preserve">Marie-Hélène</t>
  </si>
  <si>
    <t xml:space="preserve">Parenteau</t>
  </si>
  <si>
    <t xml:space="preserve">Lecavalier</t>
  </si>
  <si>
    <t xml:space="preserve">Cindy</t>
  </si>
  <si>
    <t xml:space="preserve">Switzer</t>
  </si>
  <si>
    <t xml:space="preserve">Mark</t>
  </si>
  <si>
    <t xml:space="preserve">Parent</t>
  </si>
  <si>
    <t xml:space="preserve">Pierre</t>
  </si>
  <si>
    <t xml:space="preserve">Rivest</t>
  </si>
  <si>
    <t xml:space="preserve">François</t>
  </si>
  <si>
    <t xml:space="preserve">Delage</t>
  </si>
  <si>
    <t xml:space="preserve">André</t>
  </si>
  <si>
    <t xml:space="preserve">Maheux</t>
  </si>
  <si>
    <t xml:space="preserve">Louise</t>
  </si>
  <si>
    <t xml:space="preserve">Aubé</t>
  </si>
  <si>
    <t xml:space="preserve">Yanick</t>
  </si>
  <si>
    <t xml:space="preserve">M.</t>
  </si>
  <si>
    <t xml:space="preserve">Jean-Michel</t>
  </si>
  <si>
    <t xml:space="preserve">Landry</t>
  </si>
  <si>
    <t xml:space="preserve">Sébastien</t>
  </si>
  <si>
    <t xml:space="preserve">Bédard</t>
  </si>
  <si>
    <t xml:space="preserve">Frédéric</t>
  </si>
  <si>
    <t xml:space="preserve">Ouellet</t>
  </si>
  <si>
    <t xml:space="preserve">Geneviève</t>
  </si>
  <si>
    <t xml:space="preserve">Vézina</t>
  </si>
  <si>
    <t xml:space="preserve">Morency</t>
  </si>
  <si>
    <t xml:space="preserve">Jean-Dominique</t>
  </si>
  <si>
    <t xml:space="preserve">Martineau</t>
  </si>
  <si>
    <t xml:space="preserve">Stéphane</t>
  </si>
  <si>
    <t xml:space="preserve">Michel</t>
  </si>
  <si>
    <t xml:space="preserve">Pelletier</t>
  </si>
  <si>
    <t xml:space="preserve">Caroline</t>
  </si>
  <si>
    <t xml:space="preserve">Coulombe</t>
  </si>
  <si>
    <t xml:space="preserve">Sylvain</t>
  </si>
  <si>
    <t xml:space="preserve">Demers</t>
  </si>
  <si>
    <t xml:space="preserve">Lapierre</t>
  </si>
  <si>
    <t xml:space="preserve">Bruno</t>
  </si>
  <si>
    <t xml:space="preserve">Bernier</t>
  </si>
  <si>
    <t xml:space="preserve">Perron</t>
  </si>
  <si>
    <t xml:space="preserve">Sirois</t>
  </si>
  <si>
    <t xml:space="preserve">Martin</t>
  </si>
  <si>
    <t xml:space="preserve">Garriguet</t>
  </si>
  <si>
    <t xml:space="preserve">Didier</t>
  </si>
  <si>
    <t xml:space="preserve">Provencal</t>
  </si>
  <si>
    <t xml:space="preserve">Jean-Sébastien</t>
  </si>
  <si>
    <t xml:space="preserve">Savard</t>
  </si>
  <si>
    <t xml:space="preserve">Marlène</t>
  </si>
  <si>
    <t xml:space="preserve">Lavoie</t>
  </si>
  <si>
    <t xml:space="preserve">Mongeau</t>
  </si>
  <si>
    <t xml:space="preserve">Julien</t>
  </si>
  <si>
    <t xml:space="preserve">Pierre-Olivier</t>
  </si>
  <si>
    <t xml:space="preserve">Bérard-Chagnon</t>
  </si>
  <si>
    <t xml:space="preserve">Charbonneau</t>
  </si>
  <si>
    <t xml:space="preserve">Patrick</t>
  </si>
  <si>
    <t xml:space="preserve">Bosa</t>
  </si>
  <si>
    <t xml:space="preserve">Keven</t>
  </si>
  <si>
    <t xml:space="preserve">Lemyre</t>
  </si>
  <si>
    <t xml:space="preserve">Étienne</t>
  </si>
  <si>
    <t xml:space="preserve">Allard Gervais</t>
  </si>
  <si>
    <t xml:space="preserve">Daphné</t>
  </si>
  <si>
    <t xml:space="preserve">Bourdages</t>
  </si>
  <si>
    <t xml:space="preserve">Emy</t>
  </si>
  <si>
    <t xml:space="preserve">Binet</t>
  </si>
  <si>
    <t xml:space="preserve">David</t>
  </si>
  <si>
    <t xml:space="preserve">Sergerie</t>
  </si>
  <si>
    <t xml:space="preserve">Bouchard-Santerre</t>
  </si>
  <si>
    <t xml:space="preserve">Arnaud</t>
  </si>
  <si>
    <t xml:space="preserve">Bérubé</t>
  </si>
  <si>
    <t xml:space="preserve">Philippe</t>
  </si>
  <si>
    <t xml:space="preserve">Labillois</t>
  </si>
  <si>
    <t xml:space="preserve">Tony</t>
  </si>
  <si>
    <t xml:space="preserve">Caron-Malenfant</t>
  </si>
  <si>
    <t xml:space="preserve">Éric</t>
  </si>
  <si>
    <t xml:space="preserve">Galarneau</t>
  </si>
  <si>
    <t xml:space="preserve">Labrecque-Synnott</t>
  </si>
  <si>
    <t xml:space="preserve">Félix</t>
  </si>
  <si>
    <t xml:space="preserve">Louis</t>
  </si>
  <si>
    <t xml:space="preserve">Lemyre (Faciles)</t>
  </si>
  <si>
    <t xml:space="preserve">LeBlanc</t>
  </si>
  <si>
    <t xml:space="preserve">Élizabeth</t>
  </si>
  <si>
    <t xml:space="preserve">Turpin</t>
  </si>
  <si>
    <t xml:space="preserve">Danielle</t>
  </si>
  <si>
    <t xml:space="preserve">Falconer</t>
  </si>
  <si>
    <t xml:space="preserve">James</t>
  </si>
  <si>
    <t xml:space="preserve">Rassart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</si>
</sst>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1" applyFont="true" applyBorder="tru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Joueurs" displayName="tblJoueurs" ref="A1:K83" headerRowCount="1" totalsRowCount="0" totalsRowShown="0">
  <autoFilter ref="A1:K83"/>
  <tableColumns count="11">
    <tableColumn id="1" name="NoÉquipe"/>
    <tableColumn id="2" name="NoJoueur"/>
    <tableColumn id="3" name="NomJoueur"/>
    <tableColumn id="4" name="PrénomJoueur"/>
    <tableColumn id="5" name="Alias"/>
    <tableColumn id="6" name="Statut"/>
    <tableColumn id="7" name="Icône"/>
    <tableColumn id="8" name="PosActuelle"/>
    <tableColumn id="9" name="NoÉquipe2"/>
    <tableColumn id="10" name="NoJoueur2"/>
    <tableColumn id="11" name="Nom complet"/>
  </tableColumns>
</table>
</file>

<file path=xl/tables/table2.xml><?xml version="1.0" encoding="utf-8"?>
<table xmlns="http://schemas.openxmlformats.org/spreadsheetml/2006/main" id="2" name="tblÉquipes" displayName="tblÉquipes" ref="A1:E8" headerRowCount="1" totalsRowCount="0" totalsRowShown="0">
  <autoFilter ref="A1:E8"/>
  <tableColumns count="5">
    <tableColumn id="1" name="NoÉquipe"/>
    <tableColumn id="2" name="NomÉquipe"/>
    <tableColumn id="3" name="PosFinale"/>
    <tableColumn id="4" name="Carillon"/>
    <tableColumn id="5" name="NoÉquipe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:K13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21.57"/>
    <col collapsed="false" customWidth="true" hidden="false" outlineLevel="0" max="3" min="3" style="1" width="25"/>
    <col collapsed="false" customWidth="true" hidden="false" outlineLevel="0" max="5" min="4" style="1" width="6.57"/>
    <col collapsed="false" customWidth="true" hidden="false" outlineLevel="0" max="7" min="7" style="1" width="9.71"/>
    <col collapsed="false" customWidth="true" hidden="false" outlineLevel="0" max="8" min="8" style="1" width="9.57"/>
    <col collapsed="false" customWidth="true" hidden="false" outlineLevel="0" max="9" min="9" style="1" width="6.57"/>
    <col collapsed="false" customWidth="true" hidden="false" outlineLevel="0" max="10" min="10" style="1" width="18.57"/>
    <col collapsed="false" customWidth="true" hidden="false" outlineLevel="0" max="11" min="11" style="1" width="10.42"/>
  </cols>
  <sheetData>
    <row r="1" customFormat="false" ht="19.7" hidden="false" customHeight="false" outlineLevel="0" collapsed="false">
      <c r="A1" s="2" t="s">
        <v>0</v>
      </c>
      <c r="B1" s="2"/>
      <c r="C1" s="2"/>
      <c r="F1" s="3" t="s">
        <v>1</v>
      </c>
      <c r="G1" s="3"/>
      <c r="H1" s="3"/>
      <c r="I1" s="3"/>
      <c r="K1" s="1" t="s">
        <v>2</v>
      </c>
    </row>
    <row r="2" customFormat="false" ht="15" hidden="false" customHeight="false" outlineLevel="0" collapsed="false">
      <c r="A2" s="4" t="s">
        <v>3</v>
      </c>
      <c r="B2" s="5" t="n">
        <v>6</v>
      </c>
    </row>
    <row r="3" customFormat="false" ht="15" hidden="false" customHeight="false" outlineLevel="0" collapsed="false">
      <c r="A3" s="4" t="s">
        <v>4</v>
      </c>
      <c r="B3" s="5" t="s">
        <v>5</v>
      </c>
      <c r="C3" s="1" t="n">
        <f aca="false">VLOOKUP(B3,tblÉquipes!$B$1:$E$8,4,FALSE())</f>
        <v>4</v>
      </c>
      <c r="F3" s="4" t="s">
        <v>6</v>
      </c>
      <c r="G3" s="4" t="s">
        <v>7</v>
      </c>
      <c r="H3" s="4" t="s">
        <v>8</v>
      </c>
      <c r="I3" s="4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1" t="n">
        <f aca="false">VLOOKUP(B4,tblÉquipes!$B$1:$E$8,4,FALSE())</f>
        <v>5</v>
      </c>
      <c r="F4" s="1" t="n">
        <f aca="false" t="array" ref="F4:I13">_xlfn._xlws.FILTER(F18:I45,I18:I45&gt;0)</f>
        <v>6</v>
      </c>
      <c r="G4" s="1" t="n">
        <v>4</v>
      </c>
      <c r="H4" s="1" t="n">
        <v>1</v>
      </c>
      <c r="I4" s="1" t="n">
        <v>115</v>
      </c>
      <c r="K4" s="1" t="str">
        <f aca="false">F4&amp;","&amp;G4&amp;","&amp;H4&amp;","&amp;I4</f>
        <v>6,4,1,115</v>
      </c>
    </row>
    <row r="5" customFormat="false" ht="15" hidden="false" customHeight="false" outlineLevel="0" collapsed="false">
      <c r="F5" s="1" t="n">
        <v>6</v>
      </c>
      <c r="G5" s="1" t="n">
        <v>4</v>
      </c>
      <c r="H5" s="1" t="n">
        <v>2</v>
      </c>
      <c r="I5" s="1" t="n">
        <v>70</v>
      </c>
      <c r="K5" s="1" t="str">
        <f aca="false">F5&amp;","&amp;G5&amp;","&amp;H5&amp;","&amp;I5</f>
        <v>6,4,2,70</v>
      </c>
    </row>
    <row r="6" customFormat="false" ht="15" hidden="false" customHeight="false" outlineLevel="0" collapsed="false">
      <c r="F6" s="1" t="n">
        <v>6</v>
      </c>
      <c r="G6" s="1" t="n">
        <v>4</v>
      </c>
      <c r="H6" s="1" t="n">
        <v>3</v>
      </c>
      <c r="I6" s="1" t="n">
        <v>70</v>
      </c>
      <c r="K6" s="1" t="str">
        <f aca="false">F6&amp;","&amp;G6&amp;","&amp;H6&amp;","&amp;I6</f>
        <v>6,4,3,70</v>
      </c>
    </row>
    <row r="7" customFormat="false" ht="15" hidden="false" customHeight="false" outlineLevel="0" collapsed="false">
      <c r="A7" s="4" t="s">
        <v>7</v>
      </c>
      <c r="B7" s="4" t="s">
        <v>8</v>
      </c>
      <c r="C7" s="4" t="s">
        <v>12</v>
      </c>
      <c r="D7" s="4" t="s">
        <v>9</v>
      </c>
      <c r="F7" s="1" t="n">
        <v>6</v>
      </c>
      <c r="G7" s="1" t="n">
        <v>4</v>
      </c>
      <c r="H7" s="1" t="n">
        <v>11</v>
      </c>
      <c r="I7" s="1" t="n">
        <v>20</v>
      </c>
      <c r="K7" s="1" t="str">
        <f aca="false">F7&amp;","&amp;G7&amp;","&amp;H7&amp;","&amp;I7</f>
        <v>6,4,11,20</v>
      </c>
    </row>
    <row r="8" customFormat="false" ht="15" hidden="false" customHeight="false" outlineLevel="0" collapsed="false">
      <c r="A8" s="1" t="n">
        <f aca="false" t="array" ref="A8:C32">_xlfn._xlws.FILTER(tblJoueurs!I:K,(tblJoueurs!I:I=$C$3)+(tblJoueurs!I:I=$C$4),"")</f>
        <v>4</v>
      </c>
      <c r="B8" s="1" t="n">
        <v>1</v>
      </c>
      <c r="C8" s="1" t="str">
        <v>Sébastien Landry</v>
      </c>
      <c r="D8" s="5" t="n">
        <v>115</v>
      </c>
      <c r="F8" s="1" t="n">
        <v>6</v>
      </c>
      <c r="G8" s="1" t="n">
        <v>4</v>
      </c>
      <c r="H8" s="1" t="n">
        <v>99</v>
      </c>
      <c r="I8" s="1" t="n">
        <v>20</v>
      </c>
      <c r="K8" s="1" t="str">
        <f aca="false">F8&amp;","&amp;G8&amp;","&amp;H8&amp;","&amp;I8</f>
        <v>6,4,99,20</v>
      </c>
    </row>
    <row r="9" customFormat="false" ht="15" hidden="false" customHeight="false" outlineLevel="0" collapsed="false">
      <c r="A9" s="1" t="n">
        <v>4</v>
      </c>
      <c r="B9" s="1" t="n">
        <v>2</v>
      </c>
      <c r="C9" s="1" t="str">
        <v>Frédéric Bédard</v>
      </c>
      <c r="D9" s="5" t="n">
        <v>70</v>
      </c>
      <c r="F9" s="1" t="n">
        <v>6</v>
      </c>
      <c r="G9" s="1" t="n">
        <v>5</v>
      </c>
      <c r="H9" s="1" t="n">
        <v>1</v>
      </c>
      <c r="I9" s="1" t="n">
        <v>80</v>
      </c>
      <c r="K9" s="1" t="str">
        <f aca="false">F9&amp;","&amp;G9&amp;","&amp;H9&amp;","&amp;I9</f>
        <v>6,5,1,80</v>
      </c>
    </row>
    <row r="10" customFormat="false" ht="15" hidden="false" customHeight="false" outlineLevel="0" collapsed="false">
      <c r="A10" s="1" t="n">
        <v>4</v>
      </c>
      <c r="B10" s="1" t="n">
        <v>3</v>
      </c>
      <c r="C10" s="1" t="str">
        <v>Geneviève Ouellet</v>
      </c>
      <c r="D10" s="5" t="n">
        <v>70</v>
      </c>
      <c r="F10" s="1" t="n">
        <v>6</v>
      </c>
      <c r="G10" s="1" t="n">
        <v>5</v>
      </c>
      <c r="H10" s="1" t="n">
        <v>2</v>
      </c>
      <c r="I10" s="1" t="n">
        <v>60</v>
      </c>
      <c r="K10" s="1" t="str">
        <f aca="false">F10&amp;","&amp;G10&amp;","&amp;H10&amp;","&amp;I10</f>
        <v>6,5,2,60</v>
      </c>
    </row>
    <row r="11" customFormat="false" ht="15" hidden="false" customHeight="false" outlineLevel="0" collapsed="false">
      <c r="A11" s="1" t="n">
        <v>4</v>
      </c>
      <c r="B11" s="1" t="n">
        <v>4</v>
      </c>
      <c r="C11" s="1" t="str">
        <v>Samuel Vézina</v>
      </c>
      <c r="D11" s="5"/>
      <c r="F11" s="1" t="n">
        <v>6</v>
      </c>
      <c r="G11" s="1" t="n">
        <v>5</v>
      </c>
      <c r="H11" s="1" t="n">
        <v>3</v>
      </c>
      <c r="I11" s="1" t="n">
        <v>40</v>
      </c>
      <c r="K11" s="1" t="str">
        <f aca="false">F11&amp;","&amp;G11&amp;","&amp;H11&amp;","&amp;I11</f>
        <v>6,5,3,40</v>
      </c>
    </row>
    <row r="12" customFormat="false" ht="15" hidden="false" customHeight="false" outlineLevel="0" collapsed="false">
      <c r="A12" s="1" t="n">
        <v>4</v>
      </c>
      <c r="B12" s="1" t="n">
        <v>5</v>
      </c>
      <c r="C12" s="1" t="str">
        <v>Jean-Dominique Morency</v>
      </c>
      <c r="D12" s="5"/>
      <c r="F12" s="1" t="n">
        <v>6</v>
      </c>
      <c r="G12" s="1" t="n">
        <v>5</v>
      </c>
      <c r="H12" s="1" t="n">
        <v>4</v>
      </c>
      <c r="I12" s="1" t="n">
        <v>40</v>
      </c>
      <c r="K12" s="1" t="str">
        <f aca="false">F12&amp;","&amp;G12&amp;","&amp;H12&amp;","&amp;I12</f>
        <v>6,5,4,40</v>
      </c>
    </row>
    <row r="13" customFormat="false" ht="15" hidden="false" customHeight="false" outlineLevel="0" collapsed="false">
      <c r="A13" s="1" t="n">
        <v>4</v>
      </c>
      <c r="B13" s="1" t="n">
        <v>6</v>
      </c>
      <c r="C13" s="1" t="str">
        <v>Stéphane Martineau</v>
      </c>
      <c r="D13" s="5"/>
      <c r="F13" s="1" t="n">
        <v>6</v>
      </c>
      <c r="G13" s="1" t="n">
        <v>5</v>
      </c>
      <c r="H13" s="1" t="n">
        <v>99</v>
      </c>
      <c r="I13" s="1" t="n">
        <v>40</v>
      </c>
      <c r="K13" s="1" t="str">
        <f aca="false">F13&amp;","&amp;G13&amp;","&amp;H13&amp;","&amp;I13</f>
        <v>6,5,99,40</v>
      </c>
    </row>
    <row r="14" customFormat="false" ht="15" hidden="false" customHeight="false" outlineLevel="0" collapsed="false">
      <c r="A14" s="1" t="n">
        <v>4</v>
      </c>
      <c r="B14" s="1" t="n">
        <v>7</v>
      </c>
      <c r="C14" s="1" t="str">
        <v>Michel Parenteau</v>
      </c>
      <c r="D14" s="5"/>
    </row>
    <row r="15" customFormat="false" ht="15" hidden="false" customHeight="false" outlineLevel="0" collapsed="false">
      <c r="A15" s="1" t="n">
        <v>4</v>
      </c>
      <c r="B15" s="1" t="n">
        <v>8</v>
      </c>
      <c r="C15" s="1" t="str">
        <v>Caroline Pelletier</v>
      </c>
      <c r="D15" s="5"/>
    </row>
    <row r="16" customFormat="false" ht="15" hidden="false" customHeight="false" outlineLevel="0" collapsed="false">
      <c r="A16" s="1" t="n">
        <v>4</v>
      </c>
      <c r="B16" s="1" t="n">
        <v>9</v>
      </c>
      <c r="C16" s="1" t="str">
        <v>Absent Absent</v>
      </c>
      <c r="D16" s="5"/>
      <c r="F16" s="6" t="s">
        <v>13</v>
      </c>
      <c r="G16" s="6"/>
      <c r="H16" s="6"/>
    </row>
    <row r="17" customFormat="false" ht="15" hidden="false" customHeight="false" outlineLevel="0" collapsed="false">
      <c r="A17" s="1" t="n">
        <v>4</v>
      </c>
      <c r="B17" s="1" t="n">
        <v>10</v>
      </c>
      <c r="C17" s="1" t="str">
        <v>Sylvain Coulombe</v>
      </c>
      <c r="D17" s="5"/>
      <c r="F17" s="4" t="s">
        <v>6</v>
      </c>
      <c r="G17" s="4" t="s">
        <v>7</v>
      </c>
      <c r="H17" s="4" t="s">
        <v>8</v>
      </c>
      <c r="I17" s="4" t="s">
        <v>9</v>
      </c>
    </row>
    <row r="18" customFormat="false" ht="15" hidden="false" customHeight="false" outlineLevel="0" collapsed="false">
      <c r="A18" s="1" t="n">
        <v>4</v>
      </c>
      <c r="B18" s="1" t="n">
        <v>11</v>
      </c>
      <c r="C18" s="1" t="str">
        <v>Francis Demers</v>
      </c>
      <c r="D18" s="5" t="n">
        <v>20</v>
      </c>
      <c r="F18" s="1" t="n">
        <f aca="false">$B$2</f>
        <v>6</v>
      </c>
      <c r="G18" s="1" t="n">
        <f aca="false">A8</f>
        <v>4</v>
      </c>
      <c r="H18" s="1" t="n">
        <f aca="false">B8</f>
        <v>1</v>
      </c>
      <c r="I18" s="1" t="n">
        <f aca="false">D8</f>
        <v>115</v>
      </c>
    </row>
    <row r="19" customFormat="false" ht="15" hidden="false" customHeight="false" outlineLevel="0" collapsed="false">
      <c r="A19" s="1" t="n">
        <v>4</v>
      </c>
      <c r="B19" s="1" t="n">
        <v>99</v>
      </c>
      <c r="C19" s="1" t="str">
        <v>NA Les Herbizarres</v>
      </c>
      <c r="D19" s="5" t="n">
        <v>20</v>
      </c>
      <c r="F19" s="1" t="n">
        <f aca="false">$B$2</f>
        <v>6</v>
      </c>
      <c r="G19" s="1" t="n">
        <f aca="false">A9</f>
        <v>4</v>
      </c>
      <c r="H19" s="1" t="n">
        <f aca="false">B9</f>
        <v>2</v>
      </c>
      <c r="I19" s="1" t="n">
        <f aca="false">D9</f>
        <v>70</v>
      </c>
    </row>
    <row r="20" customFormat="false" ht="15" hidden="false" customHeight="false" outlineLevel="0" collapsed="false">
      <c r="A20" s="1" t="n">
        <v>5</v>
      </c>
      <c r="B20" s="1" t="n">
        <v>1</v>
      </c>
      <c r="C20" s="1" t="str">
        <v>Bruno Lapierre</v>
      </c>
      <c r="D20" s="5" t="n">
        <v>80</v>
      </c>
      <c r="F20" s="1" t="n">
        <f aca="false">$B$2</f>
        <v>6</v>
      </c>
      <c r="G20" s="1" t="n">
        <f aca="false">A10</f>
        <v>4</v>
      </c>
      <c r="H20" s="1" t="n">
        <f aca="false">B10</f>
        <v>3</v>
      </c>
      <c r="I20" s="1" t="n">
        <f aca="false">D10</f>
        <v>70</v>
      </c>
    </row>
    <row r="21" customFormat="false" ht="15" hidden="false" customHeight="false" outlineLevel="0" collapsed="false">
      <c r="A21" s="1" t="n">
        <v>5</v>
      </c>
      <c r="B21" s="1" t="n">
        <v>2</v>
      </c>
      <c r="C21" s="1" t="str">
        <v>Julie Bernier</v>
      </c>
      <c r="D21" s="5" t="n">
        <v>60</v>
      </c>
      <c r="F21" s="1" t="n">
        <f aca="false">$B$2</f>
        <v>6</v>
      </c>
      <c r="G21" s="1" t="n">
        <f aca="false">A11</f>
        <v>4</v>
      </c>
      <c r="H21" s="1" t="n">
        <f aca="false">B11</f>
        <v>4</v>
      </c>
      <c r="I21" s="1" t="n">
        <f aca="false">D11</f>
        <v>0</v>
      </c>
    </row>
    <row r="22" customFormat="false" ht="15" hidden="false" customHeight="false" outlineLevel="0" collapsed="false">
      <c r="A22" s="1" t="n">
        <v>5</v>
      </c>
      <c r="B22" s="1" t="n">
        <v>3</v>
      </c>
      <c r="C22" s="1" t="str">
        <v>Sylvain Perron</v>
      </c>
      <c r="D22" s="5" t="n">
        <v>40</v>
      </c>
      <c r="F22" s="1" t="n">
        <f aca="false">$B$2</f>
        <v>6</v>
      </c>
      <c r="G22" s="1" t="n">
        <f aca="false">A12</f>
        <v>4</v>
      </c>
      <c r="H22" s="1" t="n">
        <f aca="false">B12</f>
        <v>5</v>
      </c>
      <c r="I22" s="1" t="n">
        <f aca="false">D12</f>
        <v>0</v>
      </c>
    </row>
    <row r="23" customFormat="false" ht="15" hidden="false" customHeight="false" outlineLevel="0" collapsed="false">
      <c r="A23" s="1" t="n">
        <v>5</v>
      </c>
      <c r="B23" s="1" t="n">
        <v>4</v>
      </c>
      <c r="C23" s="1" t="str">
        <v>Martin Sirois</v>
      </c>
      <c r="D23" s="5" t="n">
        <v>40</v>
      </c>
      <c r="F23" s="1" t="n">
        <f aca="false">$B$2</f>
        <v>6</v>
      </c>
      <c r="G23" s="1" t="n">
        <f aca="false">A13</f>
        <v>4</v>
      </c>
      <c r="H23" s="1" t="n">
        <f aca="false">B13</f>
        <v>6</v>
      </c>
      <c r="I23" s="1" t="n">
        <f aca="false">D13</f>
        <v>0</v>
      </c>
    </row>
    <row r="24" customFormat="false" ht="15" hidden="false" customHeight="false" outlineLevel="0" collapsed="false">
      <c r="A24" s="1" t="n">
        <v>5</v>
      </c>
      <c r="B24" s="1" t="n">
        <v>5</v>
      </c>
      <c r="C24" s="1" t="str">
        <v>Didier Garriguet</v>
      </c>
      <c r="D24" s="5"/>
      <c r="F24" s="1" t="n">
        <f aca="false">$B$2</f>
        <v>6</v>
      </c>
      <c r="G24" s="1" t="n">
        <f aca="false">A14</f>
        <v>4</v>
      </c>
      <c r="H24" s="1" t="n">
        <f aca="false">B14</f>
        <v>7</v>
      </c>
      <c r="I24" s="1" t="n">
        <f aca="false">D14</f>
        <v>0</v>
      </c>
    </row>
    <row r="25" customFormat="false" ht="15" hidden="false" customHeight="false" outlineLevel="0" collapsed="false">
      <c r="A25" s="1" t="n">
        <v>5</v>
      </c>
      <c r="B25" s="1" t="n">
        <v>6</v>
      </c>
      <c r="C25" s="1" t="str">
        <v>Jean-Sébastien Provencal</v>
      </c>
      <c r="D25" s="5"/>
      <c r="F25" s="1" t="n">
        <f aca="false">$B$2</f>
        <v>6</v>
      </c>
      <c r="G25" s="1" t="n">
        <f aca="false">A15</f>
        <v>4</v>
      </c>
      <c r="H25" s="1" t="n">
        <f aca="false">B15</f>
        <v>8</v>
      </c>
      <c r="I25" s="1" t="n">
        <f aca="false">D15</f>
        <v>0</v>
      </c>
    </row>
    <row r="26" customFormat="false" ht="15" hidden="false" customHeight="false" outlineLevel="0" collapsed="false">
      <c r="A26" s="1" t="n">
        <v>5</v>
      </c>
      <c r="B26" s="1" t="n">
        <v>7</v>
      </c>
      <c r="C26" s="1" t="str">
        <v>Absent Absent</v>
      </c>
      <c r="D26" s="5"/>
      <c r="F26" s="1" t="n">
        <f aca="false">$B$2</f>
        <v>6</v>
      </c>
      <c r="G26" s="1" t="n">
        <f aca="false">A16</f>
        <v>4</v>
      </c>
      <c r="H26" s="1" t="n">
        <f aca="false">B16</f>
        <v>9</v>
      </c>
      <c r="I26" s="1" t="n">
        <f aca="false">D16</f>
        <v>0</v>
      </c>
    </row>
    <row r="27" customFormat="false" ht="15" hidden="false" customHeight="false" outlineLevel="0" collapsed="false">
      <c r="A27" s="1" t="n">
        <v>5</v>
      </c>
      <c r="B27" s="1" t="n">
        <v>8</v>
      </c>
      <c r="C27" s="1" t="str">
        <v>Marlène Savard</v>
      </c>
      <c r="D27" s="5"/>
      <c r="F27" s="1" t="n">
        <f aca="false">$B$2</f>
        <v>6</v>
      </c>
      <c r="G27" s="1" t="n">
        <f aca="false">A17</f>
        <v>4</v>
      </c>
      <c r="H27" s="1" t="n">
        <f aca="false">B17</f>
        <v>10</v>
      </c>
      <c r="I27" s="1" t="n">
        <f aca="false">D17</f>
        <v>0</v>
      </c>
    </row>
    <row r="28" customFormat="false" ht="15" hidden="false" customHeight="false" outlineLevel="0" collapsed="false">
      <c r="A28" s="1" t="n">
        <v>5</v>
      </c>
      <c r="B28" s="1" t="n">
        <v>9</v>
      </c>
      <c r="C28" s="1" t="str">
        <v>François Lavoie</v>
      </c>
      <c r="D28" s="5"/>
      <c r="F28" s="1" t="n">
        <f aca="false">$B$2</f>
        <v>6</v>
      </c>
      <c r="G28" s="1" t="n">
        <f aca="false">A18</f>
        <v>4</v>
      </c>
      <c r="H28" s="1" t="n">
        <f aca="false">B18</f>
        <v>11</v>
      </c>
      <c r="I28" s="1" t="n">
        <f aca="false">D18</f>
        <v>20</v>
      </c>
    </row>
    <row r="29" customFormat="false" ht="15" hidden="false" customHeight="false" outlineLevel="0" collapsed="false">
      <c r="A29" s="1" t="n">
        <v>5</v>
      </c>
      <c r="B29" s="1" t="n">
        <v>99</v>
      </c>
      <c r="C29" s="1" t="str">
        <v>NA Les Méthos précieux</v>
      </c>
      <c r="D29" s="5" t="n">
        <v>40</v>
      </c>
      <c r="F29" s="1" t="n">
        <f aca="false">$B$2</f>
        <v>6</v>
      </c>
      <c r="G29" s="1" t="n">
        <f aca="false">A19</f>
        <v>4</v>
      </c>
      <c r="H29" s="1" t="n">
        <f aca="false">B19</f>
        <v>99</v>
      </c>
      <c r="I29" s="1" t="n">
        <f aca="false">D19</f>
        <v>20</v>
      </c>
    </row>
    <row r="30" customFormat="false" ht="15" hidden="false" customHeight="false" outlineLevel="0" collapsed="false">
      <c r="A30" s="1" t="e">
        <v>#N/A</v>
      </c>
      <c r="B30" s="1" t="e">
        <v>#N/A</v>
      </c>
      <c r="C30" s="1" t="e">
        <v>#N/A</v>
      </c>
      <c r="D30" s="5"/>
      <c r="F30" s="1" t="n">
        <f aca="false">$B$2</f>
        <v>6</v>
      </c>
      <c r="G30" s="1" t="n">
        <f aca="false">A20</f>
        <v>5</v>
      </c>
      <c r="H30" s="1" t="n">
        <f aca="false">B20</f>
        <v>1</v>
      </c>
      <c r="I30" s="1" t="n">
        <f aca="false">D20</f>
        <v>80</v>
      </c>
    </row>
    <row r="31" customFormat="false" ht="15" hidden="false" customHeight="false" outlineLevel="0" collapsed="false">
      <c r="A31" s="1" t="e">
        <v>#N/A</v>
      </c>
      <c r="B31" s="1" t="e">
        <v>#N/A</v>
      </c>
      <c r="C31" s="1" t="e">
        <v>#N/A</v>
      </c>
      <c r="D31" s="5"/>
      <c r="F31" s="1" t="n">
        <f aca="false">$B$2</f>
        <v>6</v>
      </c>
      <c r="G31" s="1" t="n">
        <f aca="false">A21</f>
        <v>5</v>
      </c>
      <c r="H31" s="1" t="n">
        <f aca="false">B21</f>
        <v>2</v>
      </c>
      <c r="I31" s="1" t="n">
        <f aca="false">D21</f>
        <v>60</v>
      </c>
    </row>
    <row r="32" customFormat="false" ht="15" hidden="false" customHeight="false" outlineLevel="0" collapsed="false">
      <c r="A32" s="1" t="e">
        <v>#N/A</v>
      </c>
      <c r="B32" s="1" t="e">
        <v>#N/A</v>
      </c>
      <c r="C32" s="1" t="e">
        <v>#N/A</v>
      </c>
      <c r="D32" s="5"/>
      <c r="F32" s="1" t="n">
        <f aca="false">$B$2</f>
        <v>6</v>
      </c>
      <c r="G32" s="1" t="n">
        <f aca="false">A22</f>
        <v>5</v>
      </c>
      <c r="H32" s="1" t="n">
        <f aca="false">B22</f>
        <v>3</v>
      </c>
      <c r="I32" s="1" t="n">
        <f aca="false">D22</f>
        <v>40</v>
      </c>
    </row>
    <row r="33" customFormat="false" ht="15" hidden="false" customHeight="false" outlineLevel="0" collapsed="false">
      <c r="D33" s="5"/>
      <c r="F33" s="1" t="n">
        <f aca="false">$B$2</f>
        <v>6</v>
      </c>
      <c r="G33" s="1" t="n">
        <f aca="false">A23</f>
        <v>5</v>
      </c>
      <c r="H33" s="1" t="n">
        <f aca="false">B23</f>
        <v>4</v>
      </c>
      <c r="I33" s="1" t="n">
        <f aca="false">D23</f>
        <v>40</v>
      </c>
    </row>
    <row r="34" customFormat="false" ht="15" hidden="false" customHeight="false" outlineLevel="0" collapsed="false">
      <c r="F34" s="1" t="n">
        <f aca="false">$B$2</f>
        <v>6</v>
      </c>
      <c r="G34" s="1" t="n">
        <f aca="false">A24</f>
        <v>5</v>
      </c>
      <c r="H34" s="1" t="n">
        <f aca="false">B24</f>
        <v>5</v>
      </c>
      <c r="I34" s="1" t="n">
        <f aca="false">D24</f>
        <v>0</v>
      </c>
    </row>
    <row r="35" customFormat="false" ht="15" hidden="false" customHeight="false" outlineLevel="0" collapsed="false">
      <c r="F35" s="1" t="n">
        <f aca="false">$B$2</f>
        <v>6</v>
      </c>
      <c r="G35" s="1" t="n">
        <f aca="false">A25</f>
        <v>5</v>
      </c>
      <c r="H35" s="1" t="n">
        <f aca="false">B25</f>
        <v>6</v>
      </c>
      <c r="I35" s="1" t="n">
        <f aca="false">D25</f>
        <v>0</v>
      </c>
    </row>
    <row r="36" customFormat="false" ht="15" hidden="false" customHeight="false" outlineLevel="0" collapsed="false">
      <c r="F36" s="1" t="n">
        <f aca="false">$B$2</f>
        <v>6</v>
      </c>
      <c r="G36" s="1" t="n">
        <f aca="false">A26</f>
        <v>5</v>
      </c>
      <c r="H36" s="1" t="n">
        <f aca="false">B26</f>
        <v>7</v>
      </c>
      <c r="I36" s="1" t="n">
        <f aca="false">D26</f>
        <v>0</v>
      </c>
    </row>
    <row r="37" customFormat="false" ht="15" hidden="false" customHeight="false" outlineLevel="0" collapsed="false">
      <c r="F37" s="1" t="n">
        <f aca="false">$B$2</f>
        <v>6</v>
      </c>
      <c r="G37" s="1" t="n">
        <f aca="false">A27</f>
        <v>5</v>
      </c>
      <c r="H37" s="1" t="n">
        <f aca="false">B27</f>
        <v>8</v>
      </c>
      <c r="I37" s="1" t="n">
        <f aca="false">D27</f>
        <v>0</v>
      </c>
    </row>
    <row r="38" customFormat="false" ht="15" hidden="false" customHeight="false" outlineLevel="0" collapsed="false">
      <c r="F38" s="1" t="n">
        <f aca="false">$B$2</f>
        <v>6</v>
      </c>
      <c r="G38" s="1" t="n">
        <f aca="false">A28</f>
        <v>5</v>
      </c>
      <c r="H38" s="1" t="n">
        <f aca="false">B28</f>
        <v>9</v>
      </c>
      <c r="I38" s="1" t="n">
        <f aca="false">D28</f>
        <v>0</v>
      </c>
    </row>
    <row r="39" customFormat="false" ht="15" hidden="false" customHeight="false" outlineLevel="0" collapsed="false">
      <c r="F39" s="1" t="n">
        <f aca="false">$B$2</f>
        <v>6</v>
      </c>
      <c r="G39" s="1" t="n">
        <f aca="false">A29</f>
        <v>5</v>
      </c>
      <c r="H39" s="1" t="n">
        <f aca="false">B29</f>
        <v>99</v>
      </c>
      <c r="I39" s="1" t="n">
        <f aca="false">D29</f>
        <v>40</v>
      </c>
    </row>
    <row r="40" customFormat="false" ht="15" hidden="false" customHeight="false" outlineLevel="0" collapsed="false">
      <c r="F40" s="1" t="n">
        <f aca="false">$B$2</f>
        <v>6</v>
      </c>
      <c r="G40" s="1" t="e">
        <f aca="false">A30</f>
        <v>#N/A</v>
      </c>
      <c r="H40" s="1" t="e">
        <f aca="false">B30</f>
        <v>#N/A</v>
      </c>
      <c r="I40" s="1" t="n">
        <f aca="false">D30</f>
        <v>0</v>
      </c>
    </row>
    <row r="41" customFormat="false" ht="15" hidden="false" customHeight="false" outlineLevel="0" collapsed="false">
      <c r="F41" s="1" t="n">
        <f aca="false">$B$2</f>
        <v>6</v>
      </c>
      <c r="G41" s="1" t="e">
        <f aca="false">A31</f>
        <v>#N/A</v>
      </c>
      <c r="H41" s="1" t="e">
        <f aca="false">B31</f>
        <v>#N/A</v>
      </c>
      <c r="I41" s="1" t="n">
        <f aca="false">D31</f>
        <v>0</v>
      </c>
    </row>
    <row r="42" customFormat="false" ht="15" hidden="false" customHeight="false" outlineLevel="0" collapsed="false">
      <c r="F42" s="1" t="n">
        <f aca="false">$B$2</f>
        <v>6</v>
      </c>
      <c r="G42" s="1" t="e">
        <f aca="false">A32</f>
        <v>#N/A</v>
      </c>
      <c r="H42" s="1" t="e">
        <f aca="false">B32</f>
        <v>#N/A</v>
      </c>
      <c r="I42" s="1" t="n">
        <f aca="false">D32</f>
        <v>0</v>
      </c>
    </row>
    <row r="43" customFormat="false" ht="15" hidden="false" customHeight="false" outlineLevel="0" collapsed="false">
      <c r="F43" s="1" t="n">
        <f aca="false">$B$2</f>
        <v>6</v>
      </c>
      <c r="G43" s="1" t="n">
        <f aca="false">A33</f>
        <v>0</v>
      </c>
      <c r="H43" s="1" t="n">
        <f aca="false">B33</f>
        <v>0</v>
      </c>
      <c r="I43" s="1" t="n">
        <f aca="false">D33</f>
        <v>0</v>
      </c>
    </row>
    <row r="44" customFormat="false" ht="15" hidden="false" customHeight="false" outlineLevel="0" collapsed="false">
      <c r="F44" s="1" t="n">
        <f aca="false">$B$2</f>
        <v>6</v>
      </c>
      <c r="G44" s="1" t="n">
        <f aca="false">A34</f>
        <v>0</v>
      </c>
      <c r="H44" s="1" t="n">
        <f aca="false">B34</f>
        <v>0</v>
      </c>
      <c r="I44" s="1" t="n">
        <f aca="false">D34</f>
        <v>0</v>
      </c>
    </row>
    <row r="45" customFormat="false" ht="15" hidden="false" customHeight="false" outlineLevel="0" collapsed="false">
      <c r="F45" s="1" t="n">
        <f aca="false">$B$2</f>
        <v>6</v>
      </c>
      <c r="G45" s="1" t="n">
        <f aca="false">A35</f>
        <v>0</v>
      </c>
      <c r="H45" s="1" t="n">
        <f aca="false">B35</f>
        <v>0</v>
      </c>
      <c r="I45" s="1" t="n">
        <f aca="false">D35</f>
        <v>0</v>
      </c>
    </row>
  </sheetData>
  <mergeCells count="2">
    <mergeCell ref="A1:C1"/>
    <mergeCell ref="F16:H16"/>
  </mergeCells>
  <dataValidations count="1">
    <dataValidation allowBlank="true" errorStyle="stop" operator="equal" showDropDown="false" showErrorMessage="true" showInputMessage="true" sqref="B3:B4" type="list">
      <formula1>tblÉquipes!$B$2:$B$8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1" sqref="K4:K13 I14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.14"/>
    <col collapsed="false" customWidth="true" hidden="false" outlineLevel="0" max="3" min="3" style="1" width="11.85"/>
    <col collapsed="false" customWidth="true" hidden="false" outlineLevel="0" max="4" min="4" style="1" width="10.14"/>
    <col collapsed="false" customWidth="true" hidden="false" outlineLevel="0" max="5" min="5" style="1" width="13"/>
  </cols>
  <sheetData>
    <row r="1" customFormat="false" ht="15" hidden="false" customHeight="false" outlineLevel="0" collapsed="false">
      <c r="A1" s="7" t="s">
        <v>7</v>
      </c>
      <c r="B1" s="7" t="s">
        <v>14</v>
      </c>
      <c r="C1" s="7" t="s">
        <v>15</v>
      </c>
      <c r="D1" s="7" t="s">
        <v>16</v>
      </c>
      <c r="E1" s="7" t="s">
        <v>17</v>
      </c>
    </row>
    <row r="2" customFormat="false" ht="15" hidden="false" customHeight="false" outlineLevel="0" collapsed="false">
      <c r="A2" s="1" t="n">
        <v>1</v>
      </c>
      <c r="B2" s="1" t="s">
        <v>18</v>
      </c>
      <c r="C2" s="1" t="s">
        <v>19</v>
      </c>
      <c r="D2" s="1" t="n">
        <v>10</v>
      </c>
      <c r="E2" s="1" t="n">
        <f aca="false">tblÉquipes!$A2</f>
        <v>1</v>
      </c>
    </row>
    <row r="3" customFormat="false" ht="15" hidden="false" customHeight="false" outlineLevel="0" collapsed="false">
      <c r="A3" s="1" t="n">
        <v>2</v>
      </c>
      <c r="B3" s="1" t="s">
        <v>20</v>
      </c>
      <c r="C3" s="1" t="s">
        <v>19</v>
      </c>
      <c r="D3" s="1" t="n">
        <v>10</v>
      </c>
      <c r="E3" s="1" t="n">
        <f aca="false">tblÉquipes!$A3</f>
        <v>2</v>
      </c>
    </row>
    <row r="4" customFormat="false" ht="15" hidden="false" customHeight="false" outlineLevel="0" collapsed="false">
      <c r="A4" s="1" t="n">
        <v>3</v>
      </c>
      <c r="B4" s="1" t="s">
        <v>21</v>
      </c>
      <c r="C4" s="1" t="s">
        <v>19</v>
      </c>
      <c r="D4" s="1" t="n">
        <v>10</v>
      </c>
      <c r="E4" s="1" t="n">
        <f aca="false">tblÉquipes!$A4</f>
        <v>3</v>
      </c>
    </row>
    <row r="5" customFormat="false" ht="15" hidden="false" customHeight="false" outlineLevel="0" collapsed="false">
      <c r="A5" s="1" t="n">
        <v>4</v>
      </c>
      <c r="B5" s="1" t="s">
        <v>5</v>
      </c>
      <c r="C5" s="1" t="s">
        <v>19</v>
      </c>
      <c r="D5" s="1" t="n">
        <v>10</v>
      </c>
      <c r="E5" s="1" t="n">
        <f aca="false">tblÉquipes!$A5</f>
        <v>4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19</v>
      </c>
      <c r="D6" s="1" t="n">
        <v>16</v>
      </c>
      <c r="E6" s="1" t="n">
        <f aca="false">tblÉquipes!$A6</f>
        <v>5</v>
      </c>
    </row>
    <row r="7" customFormat="false" ht="15" hidden="false" customHeight="false" outlineLevel="0" collapsed="false">
      <c r="A7" s="1" t="n">
        <v>6</v>
      </c>
      <c r="B7" s="1" t="s">
        <v>22</v>
      </c>
      <c r="C7" s="1" t="s">
        <v>19</v>
      </c>
      <c r="D7" s="1" t="n">
        <v>10</v>
      </c>
      <c r="E7" s="1" t="n">
        <f aca="false">tblÉquipes!$A7</f>
        <v>6</v>
      </c>
    </row>
    <row r="8" customFormat="false" ht="15" hidden="false" customHeight="false" outlineLevel="0" collapsed="false">
      <c r="A8" s="1" t="n">
        <v>7</v>
      </c>
      <c r="B8" s="1" t="s">
        <v>23</v>
      </c>
      <c r="C8" s="1" t="s">
        <v>19</v>
      </c>
      <c r="D8" s="1" t="n">
        <v>16</v>
      </c>
      <c r="E8" s="1" t="n">
        <f aca="false">tblÉquipes!$A8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43" activeCellId="1" sqref="K4:K13 B43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.85"/>
    <col collapsed="false" customWidth="true" hidden="false" outlineLevel="0" max="3" min="3" style="1" width="25.14"/>
    <col collapsed="false" customWidth="true" hidden="false" outlineLevel="0" max="4" min="4" style="1" width="16.43"/>
    <col collapsed="false" customWidth="true" hidden="false" outlineLevel="0" max="5" min="5" style="1" width="25.14"/>
    <col collapsed="false" customWidth="true" hidden="false" outlineLevel="0" max="6" min="6" style="1" width="11.43"/>
    <col collapsed="false" customWidth="true" hidden="false" outlineLevel="0" max="7" min="7" style="1" width="8.15"/>
    <col collapsed="false" customWidth="true" hidden="false" outlineLevel="0" max="8" min="8" style="1" width="13.86"/>
    <col collapsed="false" customWidth="true" hidden="false" outlineLevel="0" max="9" min="9" style="1" width="13"/>
    <col collapsed="false" customWidth="true" hidden="false" outlineLevel="0" max="10" min="10" style="1" width="12.86"/>
    <col collapsed="false" customWidth="true" hidden="false" outlineLevel="0" max="11" min="11" style="1" width="28.29"/>
    <col collapsed="false" customWidth="true" hidden="false" outlineLevel="0" max="13" min="12" style="1" width="25.71"/>
    <col collapsed="false" customWidth="true" hidden="false" outlineLevel="0" max="14" min="14" style="1" width="25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17</v>
      </c>
      <c r="J1" s="7" t="s">
        <v>30</v>
      </c>
      <c r="K1" s="7" t="s">
        <v>31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32</v>
      </c>
      <c r="D2" s="1" t="s">
        <v>33</v>
      </c>
      <c r="E2" s="1" t="s">
        <v>33</v>
      </c>
      <c r="F2" s="1" t="s">
        <v>34</v>
      </c>
      <c r="G2" s="1" t="n">
        <v>1</v>
      </c>
      <c r="H2" s="1" t="n">
        <v>1</v>
      </c>
      <c r="I2" s="1" t="n">
        <f aca="false">tblJoueurs!$A2</f>
        <v>1</v>
      </c>
      <c r="J2" s="1" t="n">
        <f aca="false">tblJoueurs!$B2</f>
        <v>1</v>
      </c>
      <c r="K2" s="1" t="str">
        <f aca="false">tblJoueurs!$D2 &amp; " " &amp;tblJoueurs!$C2</f>
        <v>Stéphanie Audet-Brazeau</v>
      </c>
      <c r="N2" s="1" t="n">
        <v>1</v>
      </c>
    </row>
    <row r="3" customFormat="false" ht="15" hidden="false" customHeight="false" outlineLevel="0" collapsed="false">
      <c r="A3" s="1" t="n">
        <v>1</v>
      </c>
      <c r="B3" s="1" t="n">
        <v>2</v>
      </c>
      <c r="C3" s="1" t="s">
        <v>35</v>
      </c>
      <c r="D3" s="1" t="s">
        <v>36</v>
      </c>
      <c r="E3" s="1" t="s">
        <v>36</v>
      </c>
      <c r="F3" s="1" t="s">
        <v>37</v>
      </c>
      <c r="G3" s="1" t="n">
        <v>1</v>
      </c>
      <c r="H3" s="1" t="n">
        <v>4</v>
      </c>
      <c r="I3" s="1" t="n">
        <f aca="false">tblJoueurs!$A3</f>
        <v>1</v>
      </c>
      <c r="J3" s="1" t="n">
        <f aca="false">tblJoueurs!$B3</f>
        <v>2</v>
      </c>
      <c r="K3" s="1" t="str">
        <f aca="false">tblJoueurs!$D3 &amp; " " &amp;tblJoueurs!$C3</f>
        <v>Julia Colpron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s">
        <v>38</v>
      </c>
      <c r="D4" s="1" t="s">
        <v>39</v>
      </c>
      <c r="E4" s="1" t="s">
        <v>39</v>
      </c>
      <c r="F4" s="1" t="s">
        <v>37</v>
      </c>
      <c r="G4" s="1" t="n">
        <v>1</v>
      </c>
      <c r="H4" s="1" t="n">
        <v>2</v>
      </c>
      <c r="I4" s="1" t="n">
        <f aca="false">tblJoueurs!$A4</f>
        <v>1</v>
      </c>
      <c r="J4" s="1" t="n">
        <f aca="false">tblJoueurs!$B4</f>
        <v>3</v>
      </c>
      <c r="K4" s="1" t="str">
        <f aca="false">tblJoueurs!$D4 &amp; " " &amp;tblJoueurs!$C4</f>
        <v>Isabelle Gamache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s">
        <v>40</v>
      </c>
      <c r="D5" s="1" t="s">
        <v>41</v>
      </c>
      <c r="E5" s="1" t="s">
        <v>41</v>
      </c>
      <c r="F5" s="1" t="s">
        <v>37</v>
      </c>
      <c r="G5" s="1" t="n">
        <v>1</v>
      </c>
      <c r="H5" s="1" t="n">
        <v>3</v>
      </c>
      <c r="I5" s="1" t="n">
        <f aca="false">tblJoueurs!$A5</f>
        <v>1</v>
      </c>
      <c r="J5" s="1" t="n">
        <f aca="false">tblJoueurs!$B5</f>
        <v>4</v>
      </c>
      <c r="K5" s="1" t="str">
        <f aca="false">tblJoueurs!$D5 &amp; " " &amp;tblJoueurs!$C5</f>
        <v>Catherine Lachance</v>
      </c>
    </row>
    <row r="6" customFormat="false" ht="15" hidden="false" customHeight="false" outlineLevel="0" collapsed="false">
      <c r="A6" s="1" t="n">
        <v>1</v>
      </c>
      <c r="B6" s="1" t="n">
        <v>5</v>
      </c>
      <c r="C6" s="1" t="s">
        <v>42</v>
      </c>
      <c r="D6" s="1" t="s">
        <v>43</v>
      </c>
      <c r="E6" s="1" t="s">
        <v>43</v>
      </c>
      <c r="F6" s="1" t="s">
        <v>37</v>
      </c>
      <c r="G6" s="1" t="n">
        <v>1</v>
      </c>
      <c r="H6" s="1" t="n">
        <v>0</v>
      </c>
      <c r="I6" s="1" t="n">
        <f aca="false">tblJoueurs!$A6</f>
        <v>1</v>
      </c>
      <c r="J6" s="1" t="n">
        <f aca="false">tblJoueurs!$B6</f>
        <v>5</v>
      </c>
      <c r="K6" s="1" t="str">
        <f aca="false">tblJoueurs!$D6 &amp; " " &amp;tblJoueurs!$C6</f>
        <v>Francis Vilandré</v>
      </c>
    </row>
    <row r="7" customFormat="false" ht="15" hidden="false" customHeight="false" outlineLevel="0" collapsed="false">
      <c r="A7" s="1" t="n">
        <v>1</v>
      </c>
      <c r="B7" s="1" t="n">
        <v>6</v>
      </c>
      <c r="C7" s="1" t="s">
        <v>44</v>
      </c>
      <c r="D7" s="1" t="s">
        <v>45</v>
      </c>
      <c r="E7" s="1" t="s">
        <v>45</v>
      </c>
      <c r="F7" s="1" t="s">
        <v>37</v>
      </c>
      <c r="G7" s="1" t="n">
        <v>1</v>
      </c>
      <c r="H7" s="1" t="n">
        <v>0</v>
      </c>
      <c r="I7" s="1" t="n">
        <f aca="false">tblJoueurs!$A7</f>
        <v>1</v>
      </c>
      <c r="J7" s="1" t="n">
        <f aca="false">tblJoueurs!$B7</f>
        <v>6</v>
      </c>
      <c r="K7" s="1" t="str">
        <f aca="false">tblJoueurs!$D7 &amp; " " &amp;tblJoueurs!$C7</f>
        <v>Julie Sarrazin</v>
      </c>
      <c r="N7" s="1" t="n">
        <f aca="false" t="array" ref="N7:Q14">_xlfn._xlws.FILTER(A3:D15,A3:A15=1)</f>
        <v>1</v>
      </c>
      <c r="O7" s="1" t="n">
        <v>2</v>
      </c>
      <c r="P7" s="1" t="str">
        <v>Colpron</v>
      </c>
      <c r="Q7" s="1" t="str">
        <v>Julia</v>
      </c>
    </row>
    <row r="8" customFormat="false" ht="15" hidden="false" customHeight="false" outlineLevel="0" collapsed="false">
      <c r="A8" s="1" t="n">
        <v>1</v>
      </c>
      <c r="B8" s="1" t="n">
        <v>7</v>
      </c>
      <c r="C8" s="1" t="s">
        <v>46</v>
      </c>
      <c r="D8" s="1" t="s">
        <v>46</v>
      </c>
      <c r="E8" s="1" t="s">
        <v>46</v>
      </c>
      <c r="F8" s="1" t="s">
        <v>47</v>
      </c>
      <c r="G8" s="1" t="n">
        <v>1</v>
      </c>
      <c r="H8" s="1" t="n">
        <v>0</v>
      </c>
      <c r="I8" s="1" t="n">
        <f aca="false">tblJoueurs!$A8</f>
        <v>1</v>
      </c>
      <c r="J8" s="1" t="n">
        <f aca="false">tblJoueurs!$B8</f>
        <v>7</v>
      </c>
      <c r="K8" s="1" t="str">
        <f aca="false">tblJoueurs!$D8 &amp; " " &amp;tblJoueurs!$C8</f>
        <v>Absent Absent</v>
      </c>
      <c r="N8" s="1" t="n">
        <v>1</v>
      </c>
      <c r="O8" s="1" t="n">
        <v>3</v>
      </c>
      <c r="P8" s="1" t="str">
        <v>Gamache</v>
      </c>
      <c r="Q8" s="1" t="str">
        <v>Isabelle</v>
      </c>
    </row>
    <row r="9" customFormat="false" ht="15" hidden="false" customHeight="false" outlineLevel="0" collapsed="false">
      <c r="A9" s="1" t="n">
        <v>1</v>
      </c>
      <c r="B9" s="1" t="n">
        <v>8</v>
      </c>
      <c r="C9" s="1" t="s">
        <v>48</v>
      </c>
      <c r="D9" s="1" t="s">
        <v>49</v>
      </c>
      <c r="E9" s="1" t="s">
        <v>49</v>
      </c>
      <c r="F9" s="1" t="s">
        <v>47</v>
      </c>
      <c r="G9" s="1" t="n">
        <v>1</v>
      </c>
      <c r="H9" s="1" t="n">
        <v>0</v>
      </c>
      <c r="I9" s="1" t="n">
        <f aca="false">tblJoueurs!$A9</f>
        <v>1</v>
      </c>
      <c r="J9" s="1" t="n">
        <f aca="false">tblJoueurs!$B9</f>
        <v>8</v>
      </c>
      <c r="K9" s="1" t="str">
        <f aca="false">tblJoueurs!$D9 &amp; " " &amp;tblJoueurs!$C9</f>
        <v>Émilie Fougères</v>
      </c>
      <c r="N9" s="1" t="n">
        <v>1</v>
      </c>
      <c r="O9" s="1" t="n">
        <v>4</v>
      </c>
      <c r="P9" s="1" t="str">
        <v>Lachance</v>
      </c>
      <c r="Q9" s="1" t="str">
        <v>Catherine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1" t="s">
        <v>50</v>
      </c>
      <c r="D10" s="1" t="s">
        <v>51</v>
      </c>
      <c r="E10" s="1" t="s">
        <v>51</v>
      </c>
      <c r="F10" s="1" t="s">
        <v>47</v>
      </c>
      <c r="G10" s="1" t="n">
        <v>1</v>
      </c>
      <c r="H10" s="1" t="n">
        <v>0</v>
      </c>
      <c r="I10" s="1" t="n">
        <f aca="false">tblJoueurs!$A10</f>
        <v>1</v>
      </c>
      <c r="J10" s="1" t="n">
        <f aca="false">tblJoueurs!$B10</f>
        <v>9</v>
      </c>
      <c r="K10" s="1" t="str">
        <f aca="false">tblJoueurs!$D10 &amp; " " &amp;tblJoueurs!$C10</f>
        <v>Marc-Olivier Loiselle</v>
      </c>
      <c r="N10" s="1" t="n">
        <v>1</v>
      </c>
      <c r="O10" s="1" t="n">
        <v>5</v>
      </c>
      <c r="P10" s="1" t="str">
        <v>Vilandré</v>
      </c>
      <c r="Q10" s="1" t="str">
        <v>Francis</v>
      </c>
    </row>
    <row r="11" customFormat="false" ht="15" hidden="false" customHeight="false" outlineLevel="0" collapsed="false">
      <c r="A11" s="1" t="n">
        <v>1</v>
      </c>
      <c r="B11" s="1" t="n">
        <v>10</v>
      </c>
      <c r="C11" s="1" t="s">
        <v>52</v>
      </c>
      <c r="D11" s="1" t="s">
        <v>53</v>
      </c>
      <c r="E11" s="1" t="s">
        <v>53</v>
      </c>
      <c r="F11" s="1" t="s">
        <v>47</v>
      </c>
      <c r="G11" s="1" t="n">
        <v>1</v>
      </c>
      <c r="H11" s="1" t="n">
        <v>0</v>
      </c>
      <c r="I11" s="1" t="n">
        <f aca="false">tblJoueurs!$A11</f>
        <v>1</v>
      </c>
      <c r="J11" s="1" t="n">
        <f aca="false">tblJoueurs!$B11</f>
        <v>10</v>
      </c>
      <c r="K11" s="1" t="str">
        <f aca="false">tblJoueurs!$D11 &amp; " " &amp;tblJoueurs!$C11</f>
        <v>Christian Frédéric Sarrette</v>
      </c>
      <c r="N11" s="1" t="n">
        <v>1</v>
      </c>
      <c r="O11" s="1" t="n">
        <v>6</v>
      </c>
      <c r="P11" s="1" t="str">
        <v>Sarrazin</v>
      </c>
      <c r="Q11" s="1" t="str">
        <v>Julie</v>
      </c>
    </row>
    <row r="12" customFormat="false" ht="15" hidden="false" customHeight="false" outlineLevel="0" collapsed="false">
      <c r="A12" s="1" t="n">
        <v>1</v>
      </c>
      <c r="B12" s="1" t="n">
        <v>99</v>
      </c>
      <c r="C12" s="1" t="s">
        <v>18</v>
      </c>
      <c r="D12" s="1" t="s">
        <v>19</v>
      </c>
      <c r="E12" s="1" t="s">
        <v>18</v>
      </c>
      <c r="F12" s="1" t="s">
        <v>54</v>
      </c>
      <c r="G12" s="1" t="n">
        <v>1</v>
      </c>
      <c r="H12" s="1" t="n">
        <v>0</v>
      </c>
      <c r="I12" s="1" t="n">
        <f aca="false">tblJoueurs!$A12</f>
        <v>1</v>
      </c>
      <c r="J12" s="1" t="n">
        <f aca="false">tblJoueurs!$B12</f>
        <v>99</v>
      </c>
      <c r="K12" s="1" t="str">
        <f aca="false">tblJoueurs!$D12 &amp; " " &amp;tblJoueurs!$C12</f>
        <v>NA Les Génies de la traduction</v>
      </c>
      <c r="N12" s="1" t="n">
        <v>1</v>
      </c>
      <c r="O12" s="1" t="n">
        <v>7</v>
      </c>
      <c r="P12" s="1" t="str">
        <v>Absent</v>
      </c>
      <c r="Q12" s="1" t="str">
        <v>Absent</v>
      </c>
    </row>
    <row r="13" customFormat="false" ht="15" hidden="false" customHeight="false" outlineLevel="0" collapsed="false">
      <c r="A13" s="1" t="n">
        <v>2</v>
      </c>
      <c r="B13" s="1" t="n">
        <v>1</v>
      </c>
      <c r="C13" s="1" t="s">
        <v>55</v>
      </c>
      <c r="D13" s="1" t="s">
        <v>56</v>
      </c>
      <c r="E13" s="1" t="s">
        <v>56</v>
      </c>
      <c r="F13" s="1" t="s">
        <v>34</v>
      </c>
      <c r="G13" s="1" t="n">
        <v>1</v>
      </c>
      <c r="H13" s="1" t="n">
        <v>1</v>
      </c>
      <c r="I13" s="1" t="n">
        <f aca="false">tblJoueurs!$A13</f>
        <v>2</v>
      </c>
      <c r="J13" s="1" t="n">
        <f aca="false">tblJoueurs!$B13</f>
        <v>1</v>
      </c>
      <c r="K13" s="1" t="str">
        <f aca="false">tblJoueurs!$D13 &amp; " " &amp;tblJoueurs!$C13</f>
        <v>Steeve Boisvert</v>
      </c>
      <c r="N13" s="1" t="n">
        <v>1</v>
      </c>
      <c r="O13" s="1" t="n">
        <v>8</v>
      </c>
      <c r="P13" s="1" t="str">
        <v>Fougères</v>
      </c>
      <c r="Q13" s="1" t="str">
        <v>Émilie</v>
      </c>
    </row>
    <row r="14" customFormat="false" ht="15" hidden="false" customHeight="false" outlineLevel="0" collapsed="false">
      <c r="A14" s="1" t="n">
        <v>2</v>
      </c>
      <c r="B14" s="1" t="n">
        <v>2</v>
      </c>
      <c r="C14" s="1" t="s">
        <v>57</v>
      </c>
      <c r="D14" s="1" t="s">
        <v>58</v>
      </c>
      <c r="E14" s="1" t="s">
        <v>58</v>
      </c>
      <c r="F14" s="1" t="s">
        <v>37</v>
      </c>
      <c r="G14" s="1" t="n">
        <v>1</v>
      </c>
      <c r="H14" s="1" t="n">
        <v>0</v>
      </c>
      <c r="I14" s="1" t="n">
        <f aca="false">tblJoueurs!$A14</f>
        <v>2</v>
      </c>
      <c r="J14" s="1" t="n">
        <f aca="false">tblJoueurs!$B14</f>
        <v>2</v>
      </c>
      <c r="K14" s="1" t="str">
        <f aca="false">tblJoueurs!$D14 &amp; " " &amp;tblJoueurs!$C14</f>
        <v>Samuel Perreault</v>
      </c>
      <c r="N14" s="1" t="n">
        <v>1</v>
      </c>
      <c r="O14" s="1" t="n">
        <v>9</v>
      </c>
      <c r="P14" s="1" t="str">
        <v>Loiselle</v>
      </c>
      <c r="Q14" s="1" t="str">
        <v>Marc-Olivier</v>
      </c>
    </row>
    <row r="15" customFormat="false" ht="15" hidden="false" customHeight="false" outlineLevel="0" collapsed="false">
      <c r="A15" s="1" t="n">
        <v>2</v>
      </c>
      <c r="B15" s="1" t="n">
        <v>3</v>
      </c>
      <c r="C15" s="1" t="s">
        <v>59</v>
      </c>
      <c r="D15" s="1" t="s">
        <v>60</v>
      </c>
      <c r="E15" s="1" t="s">
        <v>60</v>
      </c>
      <c r="F15" s="1" t="s">
        <v>37</v>
      </c>
      <c r="G15" s="1" t="n">
        <v>1</v>
      </c>
      <c r="H15" s="1" t="n">
        <v>4</v>
      </c>
      <c r="I15" s="1" t="n">
        <f aca="false">tblJoueurs!$A15</f>
        <v>2</v>
      </c>
      <c r="J15" s="1" t="n">
        <f aca="false">tblJoueurs!$B15</f>
        <v>3</v>
      </c>
      <c r="K15" s="1" t="str">
        <f aca="false">tblJoueurs!$D15 &amp; " " &amp;tblJoueurs!$C15</f>
        <v>Jonathan Baillargeon</v>
      </c>
    </row>
    <row r="16" customFormat="false" ht="15" hidden="false" customHeight="false" outlineLevel="0" collapsed="false">
      <c r="A16" s="1" t="n">
        <v>2</v>
      </c>
      <c r="B16" s="1" t="n">
        <v>4</v>
      </c>
      <c r="C16" s="1" t="s">
        <v>61</v>
      </c>
      <c r="D16" s="1" t="s">
        <v>62</v>
      </c>
      <c r="E16" s="1" t="s">
        <v>62</v>
      </c>
      <c r="F16" s="1" t="s">
        <v>37</v>
      </c>
      <c r="G16" s="1" t="n">
        <v>1</v>
      </c>
      <c r="H16" s="1" t="n">
        <v>2</v>
      </c>
      <c r="I16" s="1" t="n">
        <f aca="false">tblJoueurs!$A16</f>
        <v>2</v>
      </c>
      <c r="J16" s="1" t="n">
        <f aca="false">tblJoueurs!$B16</f>
        <v>4</v>
      </c>
      <c r="K16" s="1" t="str">
        <f aca="false">tblJoueurs!$D16 &amp; " " &amp;tblJoueurs!$C16</f>
        <v>Vincent Hardy</v>
      </c>
    </row>
    <row r="17" customFormat="false" ht="15" hidden="false" customHeight="false" outlineLevel="0" collapsed="false">
      <c r="A17" s="1" t="n">
        <v>2</v>
      </c>
      <c r="B17" s="1" t="n">
        <v>5</v>
      </c>
      <c r="C17" s="1" t="s">
        <v>63</v>
      </c>
      <c r="D17" s="1" t="s">
        <v>64</v>
      </c>
      <c r="E17" s="1" t="s">
        <v>64</v>
      </c>
      <c r="F17" s="1" t="s">
        <v>47</v>
      </c>
      <c r="G17" s="1" t="n">
        <v>1</v>
      </c>
      <c r="H17" s="1" t="n">
        <v>3</v>
      </c>
      <c r="I17" s="1" t="n">
        <f aca="false">tblJoueurs!$A17</f>
        <v>2</v>
      </c>
      <c r="J17" s="1" t="n">
        <f aca="false">tblJoueurs!$B17</f>
        <v>5</v>
      </c>
      <c r="K17" s="1" t="str">
        <f aca="false">tblJoueurs!$D17 &amp; " " &amp;tblJoueurs!$C17</f>
        <v>Nicole Paquin</v>
      </c>
    </row>
    <row r="18" customFormat="false" ht="15" hidden="false" customHeight="false" outlineLevel="0" collapsed="false">
      <c r="A18" s="1" t="n">
        <v>2</v>
      </c>
      <c r="B18" s="1" t="n">
        <v>6</v>
      </c>
      <c r="C18" s="1" t="s">
        <v>65</v>
      </c>
      <c r="D18" s="1" t="s">
        <v>66</v>
      </c>
      <c r="E18" s="1" t="s">
        <v>66</v>
      </c>
      <c r="F18" s="1" t="s">
        <v>47</v>
      </c>
      <c r="G18" s="1" t="n">
        <v>1</v>
      </c>
      <c r="H18" s="1" t="n">
        <v>0</v>
      </c>
      <c r="I18" s="1" t="n">
        <f aca="false">tblJoueurs!$A18</f>
        <v>2</v>
      </c>
      <c r="J18" s="1" t="n">
        <f aca="false">tblJoueurs!$B18</f>
        <v>6</v>
      </c>
      <c r="K18" s="1" t="str">
        <f aca="false">tblJoueurs!$D18 &amp; " " &amp;tblJoueurs!$C18</f>
        <v>Franklin Assoumou</v>
      </c>
      <c r="M18" s="1" t="n">
        <f aca="false" t="array" ref="M18:O26">_xlfn._xlws.FILTER(J:L,I:I=1)</f>
        <v>1</v>
      </c>
      <c r="N18" s="1" t="str">
        <v>Stéphanie Audet-Brazeau</v>
      </c>
      <c r="O18" s="1" t="n">
        <v>0</v>
      </c>
    </row>
    <row r="19" customFormat="false" ht="15" hidden="false" customHeight="false" outlineLevel="0" collapsed="false">
      <c r="A19" s="1" t="n">
        <v>2</v>
      </c>
      <c r="B19" s="1" t="n">
        <v>7</v>
      </c>
      <c r="C19" s="1" t="s">
        <v>67</v>
      </c>
      <c r="D19" s="1" t="s">
        <v>68</v>
      </c>
      <c r="E19" s="1" t="s">
        <v>68</v>
      </c>
      <c r="F19" s="1" t="s">
        <v>37</v>
      </c>
      <c r="G19" s="1" t="n">
        <v>1</v>
      </c>
      <c r="H19" s="1" t="n">
        <v>0</v>
      </c>
      <c r="I19" s="1" t="n">
        <f aca="false">tblJoueurs!$A19</f>
        <v>2</v>
      </c>
      <c r="J19" s="1" t="n">
        <f aca="false">tblJoueurs!$B19</f>
        <v>7</v>
      </c>
      <c r="K19" s="1" t="str">
        <f aca="false">tblJoueurs!$D19 &amp; " " &amp;tblJoueurs!$C19</f>
        <v>Marie-Hélène Sarrasin</v>
      </c>
      <c r="M19" s="1" t="n">
        <v>2</v>
      </c>
      <c r="N19" s="1" t="str">
        <v>Julia Colpron</v>
      </c>
      <c r="O19" s="1" t="n">
        <v>0</v>
      </c>
    </row>
    <row r="20" customFormat="false" ht="15" hidden="false" customHeight="false" outlineLevel="0" collapsed="false">
      <c r="A20" s="1" t="n">
        <v>2</v>
      </c>
      <c r="B20" s="1" t="n">
        <v>8</v>
      </c>
      <c r="C20" s="1" t="s">
        <v>46</v>
      </c>
      <c r="D20" s="1" t="s">
        <v>46</v>
      </c>
      <c r="E20" s="1" t="s">
        <v>46</v>
      </c>
      <c r="F20" s="1" t="s">
        <v>47</v>
      </c>
      <c r="G20" s="1" t="n">
        <v>1</v>
      </c>
      <c r="H20" s="1" t="n">
        <v>0</v>
      </c>
      <c r="I20" s="1" t="n">
        <f aca="false">tblJoueurs!$A20</f>
        <v>2</v>
      </c>
      <c r="J20" s="1" t="n">
        <f aca="false">tblJoueurs!$B20</f>
        <v>8</v>
      </c>
      <c r="K20" s="1" t="str">
        <f aca="false">tblJoueurs!$D20 &amp; " " &amp;tblJoueurs!$C20</f>
        <v>Absent Absent</v>
      </c>
      <c r="M20" s="1" t="n">
        <v>3</v>
      </c>
      <c r="N20" s="1" t="str">
        <v>Isabelle Gamache</v>
      </c>
      <c r="O20" s="1" t="n">
        <v>0</v>
      </c>
    </row>
    <row r="21" customFormat="false" ht="15" hidden="false" customHeight="false" outlineLevel="0" collapsed="false">
      <c r="A21" s="1" t="n">
        <v>2</v>
      </c>
      <c r="B21" s="1" t="n">
        <v>9</v>
      </c>
      <c r="C21" s="1" t="s">
        <v>69</v>
      </c>
      <c r="D21" s="1" t="s">
        <v>62</v>
      </c>
      <c r="E21" s="1" t="s">
        <v>62</v>
      </c>
      <c r="F21" s="1" t="s">
        <v>37</v>
      </c>
      <c r="G21" s="1" t="n">
        <v>1</v>
      </c>
      <c r="H21" s="1" t="n">
        <v>0</v>
      </c>
      <c r="I21" s="1" t="n">
        <f aca="false">tblJoueurs!$A21</f>
        <v>2</v>
      </c>
      <c r="J21" s="1" t="n">
        <f aca="false">tblJoueurs!$B21</f>
        <v>9</v>
      </c>
      <c r="K21" s="1" t="str">
        <f aca="false">tblJoueurs!$D21 &amp; " " &amp;tblJoueurs!$C21</f>
        <v>Vincent Parenteau</v>
      </c>
      <c r="M21" s="1" t="n">
        <v>4</v>
      </c>
      <c r="N21" s="1" t="str">
        <v>Catherine Lachance</v>
      </c>
      <c r="O21" s="1" t="n">
        <v>0</v>
      </c>
    </row>
    <row r="22" customFormat="false" ht="15" hidden="false" customHeight="false" outlineLevel="0" collapsed="false">
      <c r="A22" s="1" t="n">
        <v>2</v>
      </c>
      <c r="B22" s="1" t="n">
        <v>10</v>
      </c>
      <c r="C22" s="1" t="s">
        <v>70</v>
      </c>
      <c r="D22" s="1" t="s">
        <v>71</v>
      </c>
      <c r="E22" s="1" t="s">
        <v>71</v>
      </c>
      <c r="F22" s="1" t="s">
        <v>37</v>
      </c>
      <c r="G22" s="1" t="n">
        <v>1</v>
      </c>
      <c r="H22" s="1" t="n">
        <v>0</v>
      </c>
      <c r="I22" s="1" t="n">
        <f aca="false">tblJoueurs!$A22</f>
        <v>2</v>
      </c>
      <c r="J22" s="1" t="n">
        <f aca="false">tblJoueurs!$B22</f>
        <v>10</v>
      </c>
      <c r="K22" s="1" t="str">
        <f aca="false">tblJoueurs!$D22 &amp; " " &amp;tblJoueurs!$C22</f>
        <v>Cindy Lecavalier</v>
      </c>
      <c r="M22" s="1" t="n">
        <v>5</v>
      </c>
      <c r="N22" s="1" t="str">
        <v>Francis Vilandré</v>
      </c>
      <c r="O22" s="1" t="n">
        <v>0</v>
      </c>
    </row>
    <row r="23" customFormat="false" ht="15" hidden="false" customHeight="false" outlineLevel="0" collapsed="false">
      <c r="A23" s="1" t="n">
        <v>2</v>
      </c>
      <c r="B23" s="1" t="n">
        <v>99</v>
      </c>
      <c r="C23" s="1" t="s">
        <v>20</v>
      </c>
      <c r="D23" s="1" t="s">
        <v>19</v>
      </c>
      <c r="E23" s="1" t="s">
        <v>20</v>
      </c>
      <c r="F23" s="1" t="s">
        <v>54</v>
      </c>
      <c r="G23" s="1" t="n">
        <v>1</v>
      </c>
      <c r="H23" s="1" t="n">
        <v>0</v>
      </c>
      <c r="I23" s="1" t="n">
        <f aca="false">tblJoueurs!$A23</f>
        <v>2</v>
      </c>
      <c r="J23" s="1" t="n">
        <f aca="false">tblJoueurs!$B23</f>
        <v>99</v>
      </c>
      <c r="K23" s="1" t="str">
        <f aca="false">tblJoueurs!$D23 &amp; " " &amp;tblJoueurs!$C23</f>
        <v>NA Les Bons Perdants</v>
      </c>
      <c r="M23" s="1" t="n">
        <v>6</v>
      </c>
      <c r="N23" s="1" t="str">
        <v>Julie Sarrazin</v>
      </c>
      <c r="O23" s="1" t="n">
        <v>0</v>
      </c>
    </row>
    <row r="24" customFormat="false" ht="15" hidden="false" customHeight="false" outlineLevel="0" collapsed="false">
      <c r="A24" s="1" t="n">
        <v>3</v>
      </c>
      <c r="B24" s="1" t="n">
        <v>1</v>
      </c>
      <c r="C24" s="1" t="s">
        <v>72</v>
      </c>
      <c r="D24" s="1" t="s">
        <v>73</v>
      </c>
      <c r="E24" s="1" t="s">
        <v>73</v>
      </c>
      <c r="F24" s="1" t="s">
        <v>34</v>
      </c>
      <c r="G24" s="1" t="n">
        <v>1</v>
      </c>
      <c r="H24" s="1" t="n">
        <v>3</v>
      </c>
      <c r="I24" s="1" t="n">
        <f aca="false">tblJoueurs!$A24</f>
        <v>3</v>
      </c>
      <c r="J24" s="1" t="n">
        <f aca="false">tblJoueurs!$B24</f>
        <v>1</v>
      </c>
      <c r="K24" s="1" t="str">
        <f aca="false">tblJoueurs!$D24 &amp; " " &amp;tblJoueurs!$C24</f>
        <v>Mark Switzer</v>
      </c>
      <c r="M24" s="1" t="n">
        <v>7</v>
      </c>
      <c r="N24" s="1" t="str">
        <v>Absent Absent</v>
      </c>
      <c r="O24" s="1" t="n">
        <v>0</v>
      </c>
    </row>
    <row r="25" customFormat="false" ht="15" hidden="false" customHeight="false" outlineLevel="0" collapsed="false">
      <c r="A25" s="1" t="n">
        <v>3</v>
      </c>
      <c r="B25" s="1" t="n">
        <v>2</v>
      </c>
      <c r="C25" s="1" t="s">
        <v>74</v>
      </c>
      <c r="D25" s="1" t="s">
        <v>75</v>
      </c>
      <c r="E25" s="1" t="s">
        <v>75</v>
      </c>
      <c r="F25" s="1" t="s">
        <v>37</v>
      </c>
      <c r="G25" s="1" t="n">
        <v>1</v>
      </c>
      <c r="H25" s="1" t="n">
        <v>1</v>
      </c>
      <c r="I25" s="1" t="n">
        <f aca="false">tblJoueurs!$A25</f>
        <v>3</v>
      </c>
      <c r="J25" s="1" t="n">
        <f aca="false">tblJoueurs!$B25</f>
        <v>2</v>
      </c>
      <c r="K25" s="1" t="str">
        <f aca="false">tblJoueurs!$D25 &amp; " " &amp;tblJoueurs!$C25</f>
        <v>Pierre Parent</v>
      </c>
      <c r="M25" s="1" t="n">
        <v>8</v>
      </c>
      <c r="N25" s="1" t="str">
        <v>Émilie Fougères</v>
      </c>
      <c r="O25" s="1" t="n">
        <v>0</v>
      </c>
    </row>
    <row r="26" customFormat="false" ht="15" hidden="false" customHeight="false" outlineLevel="0" collapsed="false">
      <c r="A26" s="1" t="n">
        <v>3</v>
      </c>
      <c r="B26" s="1" t="n">
        <v>3</v>
      </c>
      <c r="C26" s="1" t="s">
        <v>76</v>
      </c>
      <c r="D26" s="1" t="s">
        <v>77</v>
      </c>
      <c r="E26" s="1" t="s">
        <v>77</v>
      </c>
      <c r="F26" s="1" t="s">
        <v>37</v>
      </c>
      <c r="G26" s="1" t="n">
        <v>1</v>
      </c>
      <c r="H26" s="1" t="n">
        <v>2</v>
      </c>
      <c r="I26" s="1" t="n">
        <f aca="false">tblJoueurs!$A26</f>
        <v>3</v>
      </c>
      <c r="J26" s="1" t="n">
        <f aca="false">tblJoueurs!$B26</f>
        <v>3</v>
      </c>
      <c r="K26" s="1" t="str">
        <f aca="false">tblJoueurs!$D26 &amp; " " &amp;tblJoueurs!$C26</f>
        <v>François Rivest</v>
      </c>
      <c r="M26" s="1" t="n">
        <v>9</v>
      </c>
      <c r="N26" s="1" t="str">
        <v>Marc-Olivier Loiselle</v>
      </c>
      <c r="O26" s="1" t="n">
        <v>0</v>
      </c>
    </row>
    <row r="27" customFormat="false" ht="15" hidden="false" customHeight="false" outlineLevel="0" collapsed="false">
      <c r="A27" s="1" t="n">
        <v>3</v>
      </c>
      <c r="B27" s="1" t="n">
        <v>4</v>
      </c>
      <c r="C27" s="1" t="s">
        <v>78</v>
      </c>
      <c r="D27" s="1" t="s">
        <v>79</v>
      </c>
      <c r="E27" s="1" t="s">
        <v>79</v>
      </c>
      <c r="F27" s="1" t="s">
        <v>37</v>
      </c>
      <c r="G27" s="1" t="n">
        <v>1</v>
      </c>
      <c r="H27" s="1" t="n">
        <v>0</v>
      </c>
      <c r="I27" s="1" t="n">
        <f aca="false">tblJoueurs!$A27</f>
        <v>3</v>
      </c>
      <c r="J27" s="1" t="n">
        <f aca="false">tblJoueurs!$B27</f>
        <v>4</v>
      </c>
      <c r="K27" s="1" t="str">
        <f aca="false">tblJoueurs!$D27 &amp; " " &amp;tblJoueurs!$C27</f>
        <v>André Delage</v>
      </c>
    </row>
    <row r="28" customFormat="false" ht="15" hidden="false" customHeight="false" outlineLevel="0" collapsed="false">
      <c r="A28" s="1" t="n">
        <v>3</v>
      </c>
      <c r="B28" s="1" t="n">
        <v>5</v>
      </c>
      <c r="C28" s="1" t="s">
        <v>80</v>
      </c>
      <c r="D28" s="1" t="s">
        <v>81</v>
      </c>
      <c r="E28" s="1" t="s">
        <v>81</v>
      </c>
      <c r="F28" s="1" t="s">
        <v>47</v>
      </c>
      <c r="G28" s="1" t="n">
        <v>1</v>
      </c>
      <c r="H28" s="1" t="n">
        <v>0</v>
      </c>
      <c r="I28" s="1" t="n">
        <f aca="false">tblJoueurs!$A28</f>
        <v>3</v>
      </c>
      <c r="J28" s="1" t="n">
        <f aca="false">tblJoueurs!$B28</f>
        <v>5</v>
      </c>
      <c r="K28" s="1" t="str">
        <f aca="false">tblJoueurs!$D28 &amp; " " &amp;tblJoueurs!$C28</f>
        <v>Louise Maheux</v>
      </c>
    </row>
    <row r="29" customFormat="false" ht="15" hidden="false" customHeight="false" outlineLevel="0" collapsed="false">
      <c r="A29" s="1" t="n">
        <v>3</v>
      </c>
      <c r="B29" s="1" t="n">
        <v>6</v>
      </c>
      <c r="C29" s="1" t="s">
        <v>82</v>
      </c>
      <c r="D29" s="1" t="s">
        <v>83</v>
      </c>
      <c r="E29" s="1" t="s">
        <v>83</v>
      </c>
      <c r="F29" s="1" t="s">
        <v>47</v>
      </c>
      <c r="G29" s="1" t="n">
        <v>1</v>
      </c>
      <c r="H29" s="1" t="n">
        <v>0</v>
      </c>
      <c r="I29" s="1" t="n">
        <f aca="false">tblJoueurs!$A29</f>
        <v>3</v>
      </c>
      <c r="J29" s="1" t="n">
        <f aca="false">tblJoueurs!$B29</f>
        <v>6</v>
      </c>
      <c r="K29" s="1" t="str">
        <f aca="false">tblJoueurs!$D29 &amp; " " &amp;tblJoueurs!$C29</f>
        <v>Yanick Aubé</v>
      </c>
    </row>
    <row r="30" customFormat="false" ht="15" hidden="false" customHeight="false" outlineLevel="0" collapsed="false">
      <c r="A30" s="1" t="n">
        <v>3</v>
      </c>
      <c r="B30" s="1" t="n">
        <v>7</v>
      </c>
      <c r="C30" s="1" t="s">
        <v>84</v>
      </c>
      <c r="D30" s="1" t="s">
        <v>85</v>
      </c>
      <c r="E30" s="1" t="s">
        <v>85</v>
      </c>
      <c r="F30" s="1" t="s">
        <v>47</v>
      </c>
      <c r="G30" s="1" t="n">
        <v>1</v>
      </c>
      <c r="H30" s="1" t="n">
        <v>0</v>
      </c>
      <c r="I30" s="1" t="n">
        <f aca="false">tblJoueurs!$A30</f>
        <v>3</v>
      </c>
      <c r="J30" s="1" t="n">
        <f aca="false">tblJoueurs!$B30</f>
        <v>7</v>
      </c>
      <c r="K30" s="1" t="str">
        <f aca="false">tblJoueurs!$D30 &amp; " " &amp;tblJoueurs!$C30</f>
        <v>Jean-Michel M.</v>
      </c>
    </row>
    <row r="31" customFormat="false" ht="15" hidden="false" customHeight="false" outlineLevel="0" collapsed="false">
      <c r="A31" s="1" t="n">
        <v>3</v>
      </c>
      <c r="B31" s="1" t="n">
        <v>8</v>
      </c>
      <c r="C31" s="1" t="s">
        <v>46</v>
      </c>
      <c r="D31" s="1" t="s">
        <v>46</v>
      </c>
      <c r="E31" s="1" t="s">
        <v>46</v>
      </c>
      <c r="F31" s="1" t="s">
        <v>47</v>
      </c>
      <c r="G31" s="1" t="n">
        <v>1</v>
      </c>
      <c r="H31" s="1" t="n">
        <v>0</v>
      </c>
      <c r="I31" s="1" t="n">
        <f aca="false">tblJoueurs!$A31</f>
        <v>3</v>
      </c>
      <c r="J31" s="1" t="n">
        <f aca="false">tblJoueurs!$B31</f>
        <v>8</v>
      </c>
      <c r="K31" s="1" t="str">
        <f aca="false">tblJoueurs!$D31 &amp; " " &amp;tblJoueurs!$C31</f>
        <v>Absent Absent</v>
      </c>
    </row>
    <row r="32" customFormat="false" ht="15" hidden="false" customHeight="false" outlineLevel="0" collapsed="false">
      <c r="A32" s="1" t="n">
        <v>3</v>
      </c>
      <c r="B32" s="1" t="n">
        <v>99</v>
      </c>
      <c r="C32" s="1" t="s">
        <v>21</v>
      </c>
      <c r="D32" s="1" t="s">
        <v>19</v>
      </c>
      <c r="E32" s="1" t="s">
        <v>21</v>
      </c>
      <c r="F32" s="1" t="s">
        <v>54</v>
      </c>
      <c r="G32" s="1" t="n">
        <v>1</v>
      </c>
      <c r="H32" s="1" t="n">
        <v>0</v>
      </c>
      <c r="I32" s="1" t="n">
        <f aca="false">tblJoueurs!$A32</f>
        <v>3</v>
      </c>
      <c r="J32" s="1" t="n">
        <f aca="false">tblJoueurs!$B32</f>
        <v>99</v>
      </c>
      <c r="K32" s="1" t="str">
        <f aca="false">tblJoueurs!$D32 &amp; " " &amp;tblJoueurs!$C32</f>
        <v>NA Les érudits en gerbe</v>
      </c>
    </row>
    <row r="33" customFormat="false" ht="15" hidden="false" customHeight="false" outlineLevel="0" collapsed="false">
      <c r="A33" s="1" t="n">
        <v>4</v>
      </c>
      <c r="B33" s="1" t="n">
        <v>1</v>
      </c>
      <c r="C33" s="1" t="s">
        <v>86</v>
      </c>
      <c r="D33" s="1" t="s">
        <v>87</v>
      </c>
      <c r="E33" s="1" t="s">
        <v>87</v>
      </c>
      <c r="F33" s="1" t="s">
        <v>34</v>
      </c>
      <c r="G33" s="1" t="n">
        <v>1</v>
      </c>
      <c r="H33" s="1" t="n">
        <v>1</v>
      </c>
      <c r="I33" s="1" t="n">
        <f aca="false">tblJoueurs!$A33</f>
        <v>4</v>
      </c>
      <c r="J33" s="1" t="n">
        <f aca="false">tblJoueurs!$B33</f>
        <v>1</v>
      </c>
      <c r="K33" s="1" t="str">
        <f aca="false">tblJoueurs!$D33 &amp; " " &amp;tblJoueurs!$C33</f>
        <v>Sébastien Landry</v>
      </c>
    </row>
    <row r="34" customFormat="false" ht="15" hidden="false" customHeight="false" outlineLevel="0" collapsed="false">
      <c r="A34" s="1" t="n">
        <v>4</v>
      </c>
      <c r="B34" s="1" t="n">
        <v>2</v>
      </c>
      <c r="C34" s="1" t="s">
        <v>88</v>
      </c>
      <c r="D34" s="1" t="s">
        <v>89</v>
      </c>
      <c r="E34" s="1" t="s">
        <v>89</v>
      </c>
      <c r="F34" s="1" t="s">
        <v>37</v>
      </c>
      <c r="G34" s="1" t="n">
        <v>1</v>
      </c>
      <c r="H34" s="1" t="n">
        <v>4</v>
      </c>
      <c r="I34" s="1" t="n">
        <f aca="false">tblJoueurs!$A34</f>
        <v>4</v>
      </c>
      <c r="J34" s="1" t="n">
        <f aca="false">tblJoueurs!$B34</f>
        <v>2</v>
      </c>
      <c r="K34" s="1" t="str">
        <f aca="false">tblJoueurs!$D34 &amp; " " &amp;tblJoueurs!$C34</f>
        <v>Frédéric Bédard</v>
      </c>
    </row>
    <row r="35" customFormat="false" ht="15" hidden="false" customHeight="false" outlineLevel="0" collapsed="false">
      <c r="A35" s="1" t="n">
        <v>4</v>
      </c>
      <c r="B35" s="1" t="n">
        <v>3</v>
      </c>
      <c r="C35" s="1" t="s">
        <v>90</v>
      </c>
      <c r="D35" s="1" t="s">
        <v>91</v>
      </c>
      <c r="E35" s="1" t="s">
        <v>91</v>
      </c>
      <c r="F35" s="1" t="s">
        <v>37</v>
      </c>
      <c r="G35" s="1" t="n">
        <v>1</v>
      </c>
      <c r="H35" s="1" t="n">
        <v>2</v>
      </c>
      <c r="I35" s="1" t="n">
        <f aca="false">tblJoueurs!$A35</f>
        <v>4</v>
      </c>
      <c r="J35" s="1" t="n">
        <f aca="false">tblJoueurs!$B35</f>
        <v>3</v>
      </c>
      <c r="K35" s="1" t="str">
        <f aca="false">tblJoueurs!$D35 &amp; " " &amp;tblJoueurs!$C35</f>
        <v>Geneviève Ouellet</v>
      </c>
    </row>
    <row r="36" customFormat="false" ht="15" hidden="false" customHeight="false" outlineLevel="0" collapsed="false">
      <c r="A36" s="1" t="n">
        <v>4</v>
      </c>
      <c r="B36" s="1" t="n">
        <v>4</v>
      </c>
      <c r="C36" s="1" t="s">
        <v>92</v>
      </c>
      <c r="D36" s="1" t="s">
        <v>58</v>
      </c>
      <c r="E36" s="1" t="s">
        <v>58</v>
      </c>
      <c r="F36" s="1" t="s">
        <v>37</v>
      </c>
      <c r="G36" s="1" t="n">
        <v>1</v>
      </c>
      <c r="H36" s="1" t="n">
        <v>0</v>
      </c>
      <c r="I36" s="1" t="n">
        <f aca="false">tblJoueurs!$A36</f>
        <v>4</v>
      </c>
      <c r="J36" s="1" t="n">
        <f aca="false">tblJoueurs!$B36</f>
        <v>4</v>
      </c>
      <c r="K36" s="1" t="str">
        <f aca="false">tblJoueurs!$D36 &amp; " " &amp;tblJoueurs!$C36</f>
        <v>Samuel Vézina</v>
      </c>
    </row>
    <row r="37" customFormat="false" ht="15" hidden="false" customHeight="false" outlineLevel="0" collapsed="false">
      <c r="A37" s="1" t="n">
        <v>4</v>
      </c>
      <c r="B37" s="1" t="n">
        <v>5</v>
      </c>
      <c r="C37" s="1" t="s">
        <v>93</v>
      </c>
      <c r="D37" s="1" t="s">
        <v>94</v>
      </c>
      <c r="E37" s="1" t="s">
        <v>94</v>
      </c>
      <c r="F37" s="1" t="s">
        <v>47</v>
      </c>
      <c r="G37" s="1" t="n">
        <v>1</v>
      </c>
      <c r="H37" s="1" t="n">
        <v>0</v>
      </c>
      <c r="I37" s="1" t="n">
        <f aca="false">tblJoueurs!$A37</f>
        <v>4</v>
      </c>
      <c r="J37" s="1" t="n">
        <f aca="false">tblJoueurs!$B37</f>
        <v>5</v>
      </c>
      <c r="K37" s="1" t="str">
        <f aca="false">tblJoueurs!$D37 &amp; " " &amp;tblJoueurs!$C37</f>
        <v>Jean-Dominique Morency</v>
      </c>
    </row>
    <row r="38" customFormat="false" ht="15" hidden="false" customHeight="false" outlineLevel="0" collapsed="false">
      <c r="A38" s="1" t="n">
        <v>4</v>
      </c>
      <c r="B38" s="1" t="n">
        <v>6</v>
      </c>
      <c r="C38" s="1" t="s">
        <v>95</v>
      </c>
      <c r="D38" s="1" t="s">
        <v>96</v>
      </c>
      <c r="E38" s="1" t="s">
        <v>96</v>
      </c>
      <c r="F38" s="1" t="s">
        <v>47</v>
      </c>
      <c r="G38" s="1" t="n">
        <v>1</v>
      </c>
      <c r="H38" s="1" t="n">
        <v>3</v>
      </c>
      <c r="I38" s="1" t="n">
        <f aca="false">tblJoueurs!$A38</f>
        <v>4</v>
      </c>
      <c r="J38" s="1" t="n">
        <f aca="false">tblJoueurs!$B38</f>
        <v>6</v>
      </c>
      <c r="K38" s="1" t="str">
        <f aca="false">tblJoueurs!$D38 &amp; " " &amp;tblJoueurs!$C38</f>
        <v>Stéphane Martineau</v>
      </c>
    </row>
    <row r="39" customFormat="false" ht="15" hidden="false" customHeight="false" outlineLevel="0" collapsed="false">
      <c r="A39" s="1" t="n">
        <v>4</v>
      </c>
      <c r="B39" s="1" t="n">
        <v>7</v>
      </c>
      <c r="C39" s="1" t="s">
        <v>69</v>
      </c>
      <c r="D39" s="1" t="s">
        <v>97</v>
      </c>
      <c r="E39" s="1" t="s">
        <v>97</v>
      </c>
      <c r="F39" s="1" t="s">
        <v>47</v>
      </c>
      <c r="G39" s="1" t="n">
        <v>1</v>
      </c>
      <c r="H39" s="1" t="n">
        <v>0</v>
      </c>
      <c r="I39" s="1" t="n">
        <f aca="false">tblJoueurs!$A39</f>
        <v>4</v>
      </c>
      <c r="J39" s="1" t="n">
        <f aca="false">tblJoueurs!$B39</f>
        <v>7</v>
      </c>
      <c r="K39" s="1" t="str">
        <f aca="false">tblJoueurs!$D39 &amp; " " &amp;tblJoueurs!$C39</f>
        <v>Michel Parenteau</v>
      </c>
    </row>
    <row r="40" customFormat="false" ht="15" hidden="false" customHeight="false" outlineLevel="0" collapsed="false">
      <c r="A40" s="1" t="n">
        <v>4</v>
      </c>
      <c r="B40" s="1" t="n">
        <v>8</v>
      </c>
      <c r="C40" s="1" t="s">
        <v>98</v>
      </c>
      <c r="D40" s="1" t="s">
        <v>99</v>
      </c>
      <c r="E40" s="1" t="s">
        <v>99</v>
      </c>
      <c r="F40" s="1" t="s">
        <v>47</v>
      </c>
      <c r="G40" s="1" t="n">
        <v>1</v>
      </c>
      <c r="H40" s="1" t="n">
        <v>0</v>
      </c>
      <c r="I40" s="1" t="n">
        <f aca="false">tblJoueurs!$A40</f>
        <v>4</v>
      </c>
      <c r="J40" s="1" t="n">
        <f aca="false">tblJoueurs!$B40</f>
        <v>8</v>
      </c>
      <c r="K40" s="1" t="str">
        <f aca="false">tblJoueurs!$D40 &amp; " " &amp;tblJoueurs!$C40</f>
        <v>Caroline Pelletier</v>
      </c>
    </row>
    <row r="41" customFormat="false" ht="15" hidden="false" customHeight="false" outlineLevel="0" collapsed="false">
      <c r="A41" s="1" t="n">
        <v>4</v>
      </c>
      <c r="B41" s="1" t="n">
        <v>9</v>
      </c>
      <c r="C41" s="1" t="s">
        <v>46</v>
      </c>
      <c r="D41" s="1" t="s">
        <v>46</v>
      </c>
      <c r="E41" s="1" t="s">
        <v>46</v>
      </c>
      <c r="F41" s="1" t="s">
        <v>47</v>
      </c>
      <c r="G41" s="1" t="n">
        <v>1</v>
      </c>
      <c r="H41" s="1" t="n">
        <v>0</v>
      </c>
      <c r="I41" s="1" t="n">
        <f aca="false">tblJoueurs!$A41</f>
        <v>4</v>
      </c>
      <c r="J41" s="1" t="n">
        <f aca="false">tblJoueurs!$B41</f>
        <v>9</v>
      </c>
      <c r="K41" s="1" t="str">
        <f aca="false">tblJoueurs!$D41 &amp; " " &amp;tblJoueurs!$C41</f>
        <v>Absent Absent</v>
      </c>
    </row>
    <row r="42" customFormat="false" ht="15" hidden="false" customHeight="false" outlineLevel="0" collapsed="false">
      <c r="A42" s="1" t="n">
        <v>4</v>
      </c>
      <c r="B42" s="1" t="n">
        <v>10</v>
      </c>
      <c r="C42" s="1" t="s">
        <v>100</v>
      </c>
      <c r="D42" s="1" t="s">
        <v>101</v>
      </c>
      <c r="E42" s="1" t="s">
        <v>101</v>
      </c>
      <c r="F42" s="1" t="s">
        <v>47</v>
      </c>
      <c r="G42" s="1" t="n">
        <v>1</v>
      </c>
      <c r="H42" s="1" t="n">
        <v>0</v>
      </c>
      <c r="I42" s="1" t="n">
        <f aca="false">tblJoueurs!$A42</f>
        <v>4</v>
      </c>
      <c r="J42" s="1" t="n">
        <f aca="false">tblJoueurs!$B42</f>
        <v>10</v>
      </c>
      <c r="K42" s="1" t="str">
        <f aca="false">tblJoueurs!$D42 &amp; " " &amp;tblJoueurs!$C42</f>
        <v>Sylvain Coulombe</v>
      </c>
    </row>
    <row r="43" customFormat="false" ht="15" hidden="false" customHeight="false" outlineLevel="0" collapsed="false">
      <c r="A43" s="1" t="n">
        <v>4</v>
      </c>
      <c r="B43" s="1" t="n">
        <v>11</v>
      </c>
      <c r="C43" s="1" t="s">
        <v>102</v>
      </c>
      <c r="D43" s="1" t="s">
        <v>43</v>
      </c>
      <c r="E43" s="1" t="s">
        <v>43</v>
      </c>
      <c r="F43" s="1" t="s">
        <v>47</v>
      </c>
      <c r="G43" s="1" t="n">
        <v>1</v>
      </c>
      <c r="H43" s="1" t="n">
        <v>0</v>
      </c>
      <c r="I43" s="1" t="n">
        <f aca="false">tblJoueurs!$A43</f>
        <v>4</v>
      </c>
      <c r="J43" s="1" t="n">
        <f aca="false">tblJoueurs!$B43</f>
        <v>11</v>
      </c>
      <c r="K43" s="1" t="str">
        <f aca="false">tblJoueurs!$D43 &amp; " " &amp;tblJoueurs!$C43</f>
        <v>Francis Demers</v>
      </c>
    </row>
    <row r="44" customFormat="false" ht="15" hidden="false" customHeight="false" outlineLevel="0" collapsed="false">
      <c r="A44" s="1" t="n">
        <v>4</v>
      </c>
      <c r="B44" s="1" t="n">
        <v>99</v>
      </c>
      <c r="C44" s="1" t="s">
        <v>5</v>
      </c>
      <c r="D44" s="1" t="s">
        <v>19</v>
      </c>
      <c r="E44" s="1" t="s">
        <v>5</v>
      </c>
      <c r="F44" s="1" t="s">
        <v>54</v>
      </c>
      <c r="G44" s="1" t="n">
        <v>1</v>
      </c>
      <c r="H44" s="1" t="n">
        <v>0</v>
      </c>
      <c r="I44" s="1" t="n">
        <f aca="false">tblJoueurs!$A44</f>
        <v>4</v>
      </c>
      <c r="J44" s="1" t="n">
        <f aca="false">tblJoueurs!$B44</f>
        <v>99</v>
      </c>
      <c r="K44" s="1" t="str">
        <f aca="false">tblJoueurs!$D44 &amp; " " &amp;tblJoueurs!$C44</f>
        <v>NA Les Herbizarres</v>
      </c>
    </row>
    <row r="45" customFormat="false" ht="15" hidden="false" customHeight="false" outlineLevel="0" collapsed="false">
      <c r="A45" s="1" t="n">
        <v>5</v>
      </c>
      <c r="B45" s="1" t="n">
        <v>1</v>
      </c>
      <c r="C45" s="1" t="s">
        <v>103</v>
      </c>
      <c r="D45" s="1" t="s">
        <v>104</v>
      </c>
      <c r="E45" s="1" t="s">
        <v>104</v>
      </c>
      <c r="F45" s="1" t="s">
        <v>34</v>
      </c>
      <c r="G45" s="1" t="n">
        <v>1</v>
      </c>
      <c r="H45" s="1" t="n">
        <v>4</v>
      </c>
      <c r="I45" s="1" t="n">
        <f aca="false">tblJoueurs!$A45</f>
        <v>5</v>
      </c>
      <c r="J45" s="1" t="n">
        <f aca="false">tblJoueurs!$B45</f>
        <v>1</v>
      </c>
      <c r="K45" s="1" t="str">
        <f aca="false">tblJoueurs!$D45 &amp; " " &amp;tblJoueurs!$C45</f>
        <v>Bruno Lapierre</v>
      </c>
    </row>
    <row r="46" customFormat="false" ht="15" hidden="false" customHeight="false" outlineLevel="0" collapsed="false">
      <c r="A46" s="1" t="n">
        <v>5</v>
      </c>
      <c r="B46" s="1" t="n">
        <v>2</v>
      </c>
      <c r="C46" s="1" t="s">
        <v>105</v>
      </c>
      <c r="D46" s="1" t="s">
        <v>45</v>
      </c>
      <c r="E46" s="1" t="s">
        <v>45</v>
      </c>
      <c r="F46" s="1" t="s">
        <v>37</v>
      </c>
      <c r="G46" s="1" t="n">
        <v>1</v>
      </c>
      <c r="H46" s="1" t="n">
        <v>1</v>
      </c>
      <c r="I46" s="1" t="n">
        <f aca="false">tblJoueurs!$A46</f>
        <v>5</v>
      </c>
      <c r="J46" s="1" t="n">
        <f aca="false">tblJoueurs!$B46</f>
        <v>2</v>
      </c>
      <c r="K46" s="1" t="str">
        <f aca="false">tblJoueurs!$D46 &amp; " " &amp;tblJoueurs!$C46</f>
        <v>Julie Bernier</v>
      </c>
    </row>
    <row r="47" customFormat="false" ht="15" hidden="false" customHeight="false" outlineLevel="0" collapsed="false">
      <c r="A47" s="1" t="n">
        <v>5</v>
      </c>
      <c r="B47" s="1" t="n">
        <v>3</v>
      </c>
      <c r="C47" s="1" t="s">
        <v>106</v>
      </c>
      <c r="D47" s="1" t="s">
        <v>101</v>
      </c>
      <c r="E47" s="1" t="s">
        <v>101</v>
      </c>
      <c r="F47" s="1" t="s">
        <v>37</v>
      </c>
      <c r="G47" s="1" t="n">
        <v>1</v>
      </c>
      <c r="H47" s="1" t="n">
        <v>2</v>
      </c>
      <c r="I47" s="1" t="n">
        <f aca="false">tblJoueurs!$A47</f>
        <v>5</v>
      </c>
      <c r="J47" s="1" t="n">
        <f aca="false">tblJoueurs!$B47</f>
        <v>3</v>
      </c>
      <c r="K47" s="1" t="str">
        <f aca="false">tblJoueurs!$D47 &amp; " " &amp;tblJoueurs!$C47</f>
        <v>Sylvain Perron</v>
      </c>
    </row>
    <row r="48" customFormat="false" ht="15" hidden="false" customHeight="false" outlineLevel="0" collapsed="false">
      <c r="A48" s="1" t="n">
        <v>5</v>
      </c>
      <c r="B48" s="1" t="n">
        <v>4</v>
      </c>
      <c r="C48" s="1" t="s">
        <v>107</v>
      </c>
      <c r="D48" s="1" t="s">
        <v>108</v>
      </c>
      <c r="E48" s="1" t="s">
        <v>108</v>
      </c>
      <c r="F48" s="1" t="s">
        <v>37</v>
      </c>
      <c r="G48" s="1" t="n">
        <v>1</v>
      </c>
      <c r="H48" s="1" t="n">
        <v>0</v>
      </c>
      <c r="I48" s="1" t="n">
        <f aca="false">tblJoueurs!$A48</f>
        <v>5</v>
      </c>
      <c r="J48" s="1" t="n">
        <f aca="false">tblJoueurs!$B48</f>
        <v>4</v>
      </c>
      <c r="K48" s="1" t="str">
        <f aca="false">tblJoueurs!$D48 &amp; " " &amp;tblJoueurs!$C48</f>
        <v>Martin Sirois</v>
      </c>
    </row>
    <row r="49" customFormat="false" ht="15" hidden="false" customHeight="false" outlineLevel="0" collapsed="false">
      <c r="A49" s="1" t="n">
        <v>5</v>
      </c>
      <c r="B49" s="1" t="n">
        <v>5</v>
      </c>
      <c r="C49" s="1" t="s">
        <v>109</v>
      </c>
      <c r="D49" s="1" t="s">
        <v>110</v>
      </c>
      <c r="E49" s="1" t="s">
        <v>110</v>
      </c>
      <c r="F49" s="1" t="s">
        <v>47</v>
      </c>
      <c r="G49" s="1" t="n">
        <v>1</v>
      </c>
      <c r="H49" s="1" t="n">
        <v>3</v>
      </c>
      <c r="I49" s="1" t="n">
        <f aca="false">tblJoueurs!$A49</f>
        <v>5</v>
      </c>
      <c r="J49" s="1" t="n">
        <f aca="false">tblJoueurs!$B49</f>
        <v>5</v>
      </c>
      <c r="K49" s="1" t="str">
        <f aca="false">tblJoueurs!$D49 &amp; " " &amp;tblJoueurs!$C49</f>
        <v>Didier Garriguet</v>
      </c>
    </row>
    <row r="50" customFormat="false" ht="15" hidden="false" customHeight="false" outlineLevel="0" collapsed="false">
      <c r="A50" s="1" t="n">
        <v>5</v>
      </c>
      <c r="B50" s="1" t="n">
        <v>6</v>
      </c>
      <c r="C50" s="1" t="s">
        <v>111</v>
      </c>
      <c r="D50" s="1" t="s">
        <v>112</v>
      </c>
      <c r="E50" s="1" t="s">
        <v>112</v>
      </c>
      <c r="F50" s="1" t="s">
        <v>47</v>
      </c>
      <c r="G50" s="1" t="n">
        <v>1</v>
      </c>
      <c r="H50" s="1" t="n">
        <v>0</v>
      </c>
      <c r="I50" s="1" t="n">
        <f aca="false">tblJoueurs!$A50</f>
        <v>5</v>
      </c>
      <c r="J50" s="1" t="n">
        <f aca="false">tblJoueurs!$B50</f>
        <v>6</v>
      </c>
      <c r="K50" s="1" t="str">
        <f aca="false">tblJoueurs!$D50 &amp; " " &amp;tblJoueurs!$C50</f>
        <v>Jean-Sébastien Provencal</v>
      </c>
    </row>
    <row r="51" customFormat="false" ht="15" hidden="false" customHeight="false" outlineLevel="0" collapsed="false">
      <c r="A51" s="1" t="n">
        <v>5</v>
      </c>
      <c r="B51" s="1" t="n">
        <v>7</v>
      </c>
      <c r="C51" s="1" t="s">
        <v>46</v>
      </c>
      <c r="D51" s="1" t="s">
        <v>46</v>
      </c>
      <c r="E51" s="1" t="s">
        <v>46</v>
      </c>
      <c r="F51" s="1" t="s">
        <v>47</v>
      </c>
      <c r="G51" s="1" t="n">
        <v>1</v>
      </c>
      <c r="H51" s="1" t="n">
        <v>0</v>
      </c>
      <c r="I51" s="1" t="n">
        <f aca="false">tblJoueurs!$A51</f>
        <v>5</v>
      </c>
      <c r="J51" s="1" t="n">
        <f aca="false">tblJoueurs!$B51</f>
        <v>7</v>
      </c>
      <c r="K51" s="1" t="str">
        <f aca="false">tblJoueurs!$D51 &amp; " " &amp;tblJoueurs!$C51</f>
        <v>Absent Absent</v>
      </c>
    </row>
    <row r="52" customFormat="false" ht="15" hidden="false" customHeight="false" outlineLevel="0" collapsed="false">
      <c r="A52" s="1" t="n">
        <v>5</v>
      </c>
      <c r="B52" s="1" t="n">
        <v>8</v>
      </c>
      <c r="C52" s="1" t="s">
        <v>113</v>
      </c>
      <c r="D52" s="1" t="s">
        <v>114</v>
      </c>
      <c r="E52" s="1" t="s">
        <v>114</v>
      </c>
      <c r="F52" s="1" t="s">
        <v>47</v>
      </c>
      <c r="G52" s="1" t="n">
        <v>1</v>
      </c>
      <c r="H52" s="1" t="n">
        <v>3</v>
      </c>
      <c r="I52" s="1" t="n">
        <f aca="false">tblJoueurs!$A52</f>
        <v>5</v>
      </c>
      <c r="J52" s="1" t="n">
        <f aca="false">tblJoueurs!$B52</f>
        <v>8</v>
      </c>
      <c r="K52" s="1" t="str">
        <f aca="false">tblJoueurs!$D52 &amp; " " &amp;tblJoueurs!$C52</f>
        <v>Marlène Savard</v>
      </c>
    </row>
    <row r="53" customFormat="false" ht="15" hidden="false" customHeight="false" outlineLevel="0" collapsed="false">
      <c r="A53" s="1" t="n">
        <v>5</v>
      </c>
      <c r="B53" s="1" t="n">
        <v>9</v>
      </c>
      <c r="C53" s="1" t="s">
        <v>115</v>
      </c>
      <c r="D53" s="1" t="s">
        <v>77</v>
      </c>
      <c r="E53" s="1" t="s">
        <v>77</v>
      </c>
      <c r="F53" s="1" t="s">
        <v>47</v>
      </c>
      <c r="G53" s="1" t="n">
        <v>1</v>
      </c>
      <c r="H53" s="1" t="n">
        <v>3</v>
      </c>
      <c r="I53" s="1" t="n">
        <f aca="false">tblJoueurs!$A53</f>
        <v>5</v>
      </c>
      <c r="J53" s="1" t="n">
        <f aca="false">tblJoueurs!$B53</f>
        <v>9</v>
      </c>
      <c r="K53" s="1" t="str">
        <f aca="false">tblJoueurs!$D53 &amp; " " &amp;tblJoueurs!$C53</f>
        <v>François Lavoie</v>
      </c>
    </row>
    <row r="54" customFormat="false" ht="15" hidden="false" customHeight="false" outlineLevel="0" collapsed="false">
      <c r="A54" s="1" t="n">
        <v>5</v>
      </c>
      <c r="B54" s="1" t="n">
        <v>99</v>
      </c>
      <c r="C54" s="1" t="s">
        <v>11</v>
      </c>
      <c r="D54" s="1" t="s">
        <v>19</v>
      </c>
      <c r="E54" s="1" t="s">
        <v>11</v>
      </c>
      <c r="F54" s="1" t="s">
        <v>54</v>
      </c>
      <c r="G54" s="1" t="n">
        <v>1</v>
      </c>
      <c r="H54" s="1" t="n">
        <v>0</v>
      </c>
      <c r="I54" s="1" t="n">
        <f aca="false">tblJoueurs!$A54</f>
        <v>5</v>
      </c>
      <c r="J54" s="1" t="n">
        <f aca="false">tblJoueurs!$B54</f>
        <v>99</v>
      </c>
      <c r="K54" s="1" t="str">
        <f aca="false">tblJoueurs!$D54 &amp; " " &amp;tblJoueurs!$C54</f>
        <v>NA Les Méthos précieux</v>
      </c>
    </row>
    <row r="55" customFormat="false" ht="15" hidden="false" customHeight="false" outlineLevel="0" collapsed="false">
      <c r="A55" s="1" t="n">
        <v>6</v>
      </c>
      <c r="B55" s="1" t="n">
        <v>1</v>
      </c>
      <c r="C55" s="1" t="s">
        <v>116</v>
      </c>
      <c r="D55" s="1" t="s">
        <v>96</v>
      </c>
      <c r="E55" s="1" t="s">
        <v>96</v>
      </c>
      <c r="F55" s="1" t="s">
        <v>34</v>
      </c>
      <c r="G55" s="1" t="n">
        <v>1</v>
      </c>
      <c r="H55" s="1" t="n">
        <v>1</v>
      </c>
      <c r="I55" s="1" t="n">
        <f aca="false">tblJoueurs!$A55</f>
        <v>6</v>
      </c>
      <c r="J55" s="1" t="n">
        <f aca="false">tblJoueurs!$B55</f>
        <v>1</v>
      </c>
      <c r="K55" s="1" t="str">
        <f aca="false">tblJoueurs!$D55 &amp; " " &amp;tblJoueurs!$C55</f>
        <v>Stéphane Mongeau</v>
      </c>
    </row>
    <row r="56" customFormat="false" ht="15" hidden="false" customHeight="false" outlineLevel="0" collapsed="false">
      <c r="A56" s="1" t="n">
        <v>6</v>
      </c>
      <c r="B56" s="1" t="n">
        <v>2</v>
      </c>
      <c r="C56" s="1" t="s">
        <v>117</v>
      </c>
      <c r="D56" s="1" t="s">
        <v>118</v>
      </c>
      <c r="E56" s="1" t="s">
        <v>118</v>
      </c>
      <c r="F56" s="1" t="s">
        <v>37</v>
      </c>
      <c r="G56" s="1" t="n">
        <v>1</v>
      </c>
      <c r="H56" s="1" t="n">
        <v>3</v>
      </c>
      <c r="I56" s="1" t="n">
        <f aca="false">tblJoueurs!$A56</f>
        <v>6</v>
      </c>
      <c r="J56" s="1" t="n">
        <f aca="false">tblJoueurs!$B56</f>
        <v>2</v>
      </c>
      <c r="K56" s="1" t="str">
        <f aca="false">tblJoueurs!$D56 &amp; " " &amp;tblJoueurs!$C56</f>
        <v>Pierre-Olivier Julien</v>
      </c>
    </row>
    <row r="57" customFormat="false" ht="15" hidden="false" customHeight="false" outlineLevel="0" collapsed="false">
      <c r="A57" s="1" t="n">
        <v>6</v>
      </c>
      <c r="B57" s="1" t="n">
        <v>3</v>
      </c>
      <c r="C57" s="1" t="s">
        <v>119</v>
      </c>
      <c r="D57" s="1" t="s">
        <v>117</v>
      </c>
      <c r="E57" s="1" t="s">
        <v>117</v>
      </c>
      <c r="F57" s="1" t="s">
        <v>37</v>
      </c>
      <c r="G57" s="1" t="n">
        <v>1</v>
      </c>
      <c r="H57" s="1" t="n">
        <v>2</v>
      </c>
      <c r="I57" s="1" t="n">
        <f aca="false">tblJoueurs!$A57</f>
        <v>6</v>
      </c>
      <c r="J57" s="1" t="n">
        <f aca="false">tblJoueurs!$B57</f>
        <v>3</v>
      </c>
      <c r="K57" s="1" t="str">
        <f aca="false">tblJoueurs!$D57 &amp; " " &amp;tblJoueurs!$C57</f>
        <v>Julien Bérard-Chagnon</v>
      </c>
    </row>
    <row r="58" customFormat="false" ht="15" hidden="false" customHeight="false" outlineLevel="0" collapsed="false">
      <c r="A58" s="1" t="n">
        <v>6</v>
      </c>
      <c r="B58" s="1" t="n">
        <v>4</v>
      </c>
      <c r="C58" s="1" t="s">
        <v>120</v>
      </c>
      <c r="D58" s="1" t="s">
        <v>121</v>
      </c>
      <c r="E58" s="1" t="s">
        <v>121</v>
      </c>
      <c r="F58" s="1" t="s">
        <v>37</v>
      </c>
      <c r="G58" s="1" t="n">
        <v>1</v>
      </c>
      <c r="H58" s="1" t="n">
        <v>0</v>
      </c>
      <c r="I58" s="1" t="n">
        <f aca="false">tblJoueurs!$A58</f>
        <v>6</v>
      </c>
      <c r="J58" s="1" t="n">
        <f aca="false">tblJoueurs!$B58</f>
        <v>4</v>
      </c>
      <c r="K58" s="1" t="str">
        <f aca="false">tblJoueurs!$D58 &amp; " " &amp;tblJoueurs!$C58</f>
        <v>Patrick Charbonneau</v>
      </c>
    </row>
    <row r="59" customFormat="false" ht="15" hidden="false" customHeight="false" outlineLevel="0" collapsed="false">
      <c r="A59" s="1" t="n">
        <v>6</v>
      </c>
      <c r="B59" s="1" t="n">
        <v>5</v>
      </c>
      <c r="C59" s="1" t="s">
        <v>122</v>
      </c>
      <c r="D59" s="1" t="s">
        <v>123</v>
      </c>
      <c r="E59" s="1" t="s">
        <v>123</v>
      </c>
      <c r="F59" s="1" t="s">
        <v>47</v>
      </c>
      <c r="G59" s="1" t="n">
        <v>1</v>
      </c>
      <c r="H59" s="1" t="n">
        <v>4</v>
      </c>
      <c r="I59" s="1" t="n">
        <f aca="false">tblJoueurs!$A59</f>
        <v>6</v>
      </c>
      <c r="J59" s="1" t="n">
        <f aca="false">tblJoueurs!$B59</f>
        <v>5</v>
      </c>
      <c r="K59" s="1" t="str">
        <f aca="false">tblJoueurs!$D59 &amp; " " &amp;tblJoueurs!$C59</f>
        <v>Keven Bosa</v>
      </c>
    </row>
    <row r="60" customFormat="false" ht="15" hidden="false" customHeight="false" outlineLevel="0" collapsed="false">
      <c r="A60" s="1" t="n">
        <v>6</v>
      </c>
      <c r="B60" s="1" t="n">
        <v>6</v>
      </c>
      <c r="C60" s="1" t="s">
        <v>124</v>
      </c>
      <c r="D60" s="1" t="s">
        <v>125</v>
      </c>
      <c r="E60" s="1" t="s">
        <v>125</v>
      </c>
      <c r="F60" s="1" t="s">
        <v>47</v>
      </c>
      <c r="G60" s="1" t="n">
        <v>1</v>
      </c>
      <c r="H60" s="1" t="n">
        <v>0</v>
      </c>
      <c r="I60" s="1" t="n">
        <f aca="false">tblJoueurs!$A60</f>
        <v>6</v>
      </c>
      <c r="J60" s="1" t="n">
        <f aca="false">tblJoueurs!$B60</f>
        <v>6</v>
      </c>
      <c r="K60" s="1" t="str">
        <f aca="false">tblJoueurs!$D60 &amp; " " &amp;tblJoueurs!$C60</f>
        <v>Étienne Lemyre</v>
      </c>
    </row>
    <row r="61" customFormat="false" ht="15" hidden="false" customHeight="false" outlineLevel="0" collapsed="false">
      <c r="A61" s="1" t="n">
        <v>6</v>
      </c>
      <c r="B61" s="1" t="n">
        <v>7</v>
      </c>
      <c r="C61" s="1" t="s">
        <v>126</v>
      </c>
      <c r="D61" s="1" t="s">
        <v>127</v>
      </c>
      <c r="E61" s="1" t="s">
        <v>127</v>
      </c>
      <c r="F61" s="1" t="s">
        <v>47</v>
      </c>
      <c r="G61" s="1" t="n">
        <v>1</v>
      </c>
      <c r="H61" s="1" t="n">
        <v>0</v>
      </c>
      <c r="I61" s="1" t="n">
        <f aca="false">tblJoueurs!$A61</f>
        <v>6</v>
      </c>
      <c r="J61" s="1" t="n">
        <f aca="false">tblJoueurs!$B61</f>
        <v>7</v>
      </c>
      <c r="K61" s="1" t="str">
        <f aca="false">tblJoueurs!$D61 &amp; " " &amp;tblJoueurs!$C61</f>
        <v>Daphné Allard Gervais</v>
      </c>
    </row>
    <row r="62" customFormat="false" ht="15" hidden="false" customHeight="false" outlineLevel="0" collapsed="false">
      <c r="A62" s="1" t="n">
        <v>6</v>
      </c>
      <c r="B62" s="1" t="n">
        <v>8</v>
      </c>
      <c r="C62" s="1" t="s">
        <v>128</v>
      </c>
      <c r="D62" s="1" t="s">
        <v>129</v>
      </c>
      <c r="E62" s="1" t="s">
        <v>129</v>
      </c>
      <c r="F62" s="1" t="s">
        <v>47</v>
      </c>
      <c r="G62" s="1" t="n">
        <v>1</v>
      </c>
      <c r="H62" s="1" t="n">
        <v>0</v>
      </c>
      <c r="I62" s="1" t="n">
        <f aca="false">tblJoueurs!$A62</f>
        <v>6</v>
      </c>
      <c r="J62" s="1" t="n">
        <f aca="false">tblJoueurs!$B62</f>
        <v>8</v>
      </c>
      <c r="K62" s="1" t="str">
        <f aca="false">tblJoueurs!$D62 &amp; " " &amp;tblJoueurs!$C62</f>
        <v>Emy Bourdages</v>
      </c>
    </row>
    <row r="63" customFormat="false" ht="15" hidden="false" customHeight="false" outlineLevel="0" collapsed="false">
      <c r="A63" s="1" t="n">
        <v>6</v>
      </c>
      <c r="B63" s="1" t="n">
        <v>9</v>
      </c>
      <c r="C63" s="1" t="s">
        <v>130</v>
      </c>
      <c r="D63" s="1" t="s">
        <v>131</v>
      </c>
      <c r="E63" s="1" t="s">
        <v>131</v>
      </c>
      <c r="F63" s="1" t="s">
        <v>47</v>
      </c>
      <c r="G63" s="1" t="n">
        <v>1</v>
      </c>
      <c r="H63" s="1" t="n">
        <v>0</v>
      </c>
      <c r="I63" s="1" t="n">
        <f aca="false">tblJoueurs!$A63</f>
        <v>6</v>
      </c>
      <c r="J63" s="1" t="n">
        <f aca="false">tblJoueurs!$B63</f>
        <v>9</v>
      </c>
      <c r="K63" s="1" t="str">
        <f aca="false">tblJoueurs!$D63 &amp; " " &amp;tblJoueurs!$C63</f>
        <v>David Binet</v>
      </c>
    </row>
    <row r="64" customFormat="false" ht="15" hidden="false" customHeight="false" outlineLevel="0" collapsed="false">
      <c r="A64" s="1" t="n">
        <v>6</v>
      </c>
      <c r="B64" s="1" t="n">
        <v>10</v>
      </c>
      <c r="C64" s="1" t="s">
        <v>46</v>
      </c>
      <c r="D64" s="1" t="s">
        <v>46</v>
      </c>
      <c r="E64" s="1" t="s">
        <v>46</v>
      </c>
      <c r="F64" s="1" t="s">
        <v>47</v>
      </c>
      <c r="G64" s="1" t="n">
        <v>1</v>
      </c>
      <c r="H64" s="1" t="n">
        <v>0</v>
      </c>
      <c r="I64" s="1" t="n">
        <f aca="false">tblJoueurs!$A64</f>
        <v>6</v>
      </c>
      <c r="J64" s="1" t="n">
        <f aca="false">tblJoueurs!$B64</f>
        <v>10</v>
      </c>
      <c r="K64" s="1" t="str">
        <f aca="false">tblJoueurs!$D64 &amp; " " &amp;tblJoueurs!$C64</f>
        <v>Absent Absent</v>
      </c>
    </row>
    <row r="65" customFormat="false" ht="15" hidden="false" customHeight="false" outlineLevel="0" collapsed="false">
      <c r="A65" s="1" t="n">
        <v>6</v>
      </c>
      <c r="B65" s="1" t="n">
        <v>11</v>
      </c>
      <c r="C65" s="1" t="s">
        <v>132</v>
      </c>
      <c r="D65" s="1" t="s">
        <v>77</v>
      </c>
      <c r="E65" s="1" t="s">
        <v>77</v>
      </c>
      <c r="F65" s="1" t="s">
        <v>47</v>
      </c>
      <c r="G65" s="1" t="n">
        <v>1</v>
      </c>
      <c r="H65" s="1" t="n">
        <v>0</v>
      </c>
      <c r="I65" s="1" t="n">
        <f aca="false">tblJoueurs!$A65</f>
        <v>6</v>
      </c>
      <c r="J65" s="1" t="n">
        <f aca="false">tblJoueurs!$B65</f>
        <v>11</v>
      </c>
      <c r="K65" s="1" t="str">
        <f aca="false">tblJoueurs!$D65 &amp; " " &amp;tblJoueurs!$C65</f>
        <v>François Sergerie</v>
      </c>
    </row>
    <row r="66" customFormat="false" ht="15" hidden="false" customHeight="false" outlineLevel="0" collapsed="false">
      <c r="A66" s="1" t="n">
        <v>6</v>
      </c>
      <c r="B66" s="1" t="n">
        <v>12</v>
      </c>
      <c r="C66" s="1" t="s">
        <v>133</v>
      </c>
      <c r="D66" s="1" t="s">
        <v>134</v>
      </c>
      <c r="E66" s="1" t="s">
        <v>134</v>
      </c>
      <c r="F66" s="1" t="s">
        <v>47</v>
      </c>
      <c r="G66" s="1" t="n">
        <v>1</v>
      </c>
      <c r="H66" s="1" t="n">
        <v>0</v>
      </c>
      <c r="I66" s="1" t="n">
        <f aca="false">tblJoueurs!$A66</f>
        <v>6</v>
      </c>
      <c r="J66" s="1" t="n">
        <f aca="false">tblJoueurs!$B66</f>
        <v>12</v>
      </c>
      <c r="K66" s="1" t="str">
        <f aca="false">tblJoueurs!$D66 &amp; " " &amp;tblJoueurs!$C66</f>
        <v>Arnaud Bouchard-Santerre</v>
      </c>
    </row>
    <row r="67" customFormat="false" ht="15" hidden="false" customHeight="false" outlineLevel="0" collapsed="false">
      <c r="A67" s="1" t="n">
        <v>6</v>
      </c>
      <c r="B67" s="1" t="n">
        <v>99</v>
      </c>
      <c r="C67" s="1" t="s">
        <v>22</v>
      </c>
      <c r="D67" s="1" t="s">
        <v>19</v>
      </c>
      <c r="E67" s="1" t="s">
        <v>22</v>
      </c>
      <c r="F67" s="1" t="s">
        <v>54</v>
      </c>
      <c r="G67" s="1" t="n">
        <v>1</v>
      </c>
      <c r="H67" s="1" t="n">
        <v>0</v>
      </c>
      <c r="I67" s="1" t="n">
        <f aca="false">tblJoueurs!$A67</f>
        <v>6</v>
      </c>
      <c r="J67" s="1" t="n">
        <f aca="false">tblJoueurs!$B67</f>
        <v>99</v>
      </c>
      <c r="K67" s="1" t="str">
        <f aca="false">tblJoueurs!$D67 &amp; " " &amp;tblJoueurs!$C67</f>
        <v>NA Les 12e meilleurs</v>
      </c>
    </row>
    <row r="68" customFormat="false" ht="15" hidden="false" customHeight="false" outlineLevel="0" collapsed="false">
      <c r="A68" s="1" t="n">
        <v>7</v>
      </c>
      <c r="B68" s="1" t="n">
        <v>1</v>
      </c>
      <c r="C68" s="1" t="s">
        <v>135</v>
      </c>
      <c r="D68" s="1" t="s">
        <v>136</v>
      </c>
      <c r="E68" s="1" t="s">
        <v>136</v>
      </c>
      <c r="F68" s="1" t="s">
        <v>34</v>
      </c>
      <c r="G68" s="1" t="n">
        <v>1</v>
      </c>
      <c r="H68" s="1" t="n">
        <v>0</v>
      </c>
      <c r="I68" s="1" t="n">
        <f aca="false">tblJoueurs!$A68</f>
        <v>7</v>
      </c>
      <c r="J68" s="1" t="n">
        <f aca="false">tblJoueurs!$B68</f>
        <v>1</v>
      </c>
      <c r="K68" s="1" t="str">
        <f aca="false">tblJoueurs!$D68 &amp; " " &amp;tblJoueurs!$C68</f>
        <v>Philippe Bérubé</v>
      </c>
    </row>
    <row r="69" customFormat="false" ht="15" hidden="false" customHeight="false" outlineLevel="0" collapsed="false">
      <c r="A69" s="1" t="n">
        <v>7</v>
      </c>
      <c r="B69" s="1" t="n">
        <v>2</v>
      </c>
      <c r="C69" s="1" t="s">
        <v>137</v>
      </c>
      <c r="D69" s="1" t="s">
        <v>138</v>
      </c>
      <c r="E69" s="1" t="s">
        <v>138</v>
      </c>
      <c r="F69" s="1" t="s">
        <v>37</v>
      </c>
      <c r="G69" s="1" t="n">
        <v>1</v>
      </c>
      <c r="H69" s="1" t="n">
        <v>4</v>
      </c>
      <c r="I69" s="1" t="n">
        <f aca="false">tblJoueurs!$A69</f>
        <v>7</v>
      </c>
      <c r="J69" s="1" t="n">
        <f aca="false">tblJoueurs!$B69</f>
        <v>2</v>
      </c>
      <c r="K69" s="1" t="str">
        <f aca="false">tblJoueurs!$D69 &amp; " " &amp;tblJoueurs!$C69</f>
        <v>Tony Labillois</v>
      </c>
    </row>
    <row r="70" customFormat="false" ht="15" hidden="false" customHeight="false" outlineLevel="0" collapsed="false">
      <c r="A70" s="1" t="n">
        <v>7</v>
      </c>
      <c r="B70" s="1" t="n">
        <v>3</v>
      </c>
      <c r="C70" s="1" t="s">
        <v>139</v>
      </c>
      <c r="D70" s="1" t="s">
        <v>140</v>
      </c>
      <c r="E70" s="1" t="s">
        <v>140</v>
      </c>
      <c r="F70" s="1" t="s">
        <v>37</v>
      </c>
      <c r="G70" s="1" t="n">
        <v>1</v>
      </c>
      <c r="H70" s="1" t="n">
        <v>2</v>
      </c>
      <c r="I70" s="1" t="n">
        <f aca="false">tblJoueurs!$A70</f>
        <v>7</v>
      </c>
      <c r="J70" s="1" t="n">
        <f aca="false">tblJoueurs!$B70</f>
        <v>3</v>
      </c>
      <c r="K70" s="1" t="str">
        <f aca="false">tblJoueurs!$D70 &amp; " " &amp;tblJoueurs!$C70</f>
        <v>Éric Caron-Malenfant</v>
      </c>
    </row>
    <row r="71" customFormat="false" ht="15" hidden="false" customHeight="false" outlineLevel="0" collapsed="false">
      <c r="A71" s="1" t="n">
        <v>7</v>
      </c>
      <c r="B71" s="1" t="n">
        <v>4</v>
      </c>
      <c r="C71" s="1" t="s">
        <v>141</v>
      </c>
      <c r="D71" s="1" t="s">
        <v>75</v>
      </c>
      <c r="E71" s="1" t="s">
        <v>75</v>
      </c>
      <c r="F71" s="1" t="s">
        <v>37</v>
      </c>
      <c r="G71" s="1" t="n">
        <v>1</v>
      </c>
      <c r="H71" s="1" t="n">
        <v>3</v>
      </c>
      <c r="I71" s="1" t="n">
        <f aca="false">tblJoueurs!$A71</f>
        <v>7</v>
      </c>
      <c r="J71" s="1" t="n">
        <f aca="false">tblJoueurs!$B71</f>
        <v>4</v>
      </c>
      <c r="K71" s="1" t="str">
        <f aca="false">tblJoueurs!$D71 &amp; " " &amp;tblJoueurs!$C71</f>
        <v>Pierre Galarneau</v>
      </c>
    </row>
    <row r="72" customFormat="false" ht="15" hidden="false" customHeight="false" outlineLevel="0" collapsed="false">
      <c r="A72" s="1" t="n">
        <v>7</v>
      </c>
      <c r="B72" s="1" t="n">
        <v>5</v>
      </c>
      <c r="C72" s="1" t="s">
        <v>142</v>
      </c>
      <c r="D72" s="1" t="s">
        <v>143</v>
      </c>
      <c r="E72" s="1" t="s">
        <v>143</v>
      </c>
      <c r="F72" s="1" t="s">
        <v>47</v>
      </c>
      <c r="G72" s="1" t="n">
        <v>1</v>
      </c>
      <c r="H72" s="1" t="n">
        <v>0</v>
      </c>
      <c r="I72" s="1" t="n">
        <f aca="false">tblJoueurs!$A72</f>
        <v>7</v>
      </c>
      <c r="J72" s="1" t="n">
        <f aca="false">tblJoueurs!$B72</f>
        <v>5</v>
      </c>
      <c r="K72" s="1" t="str">
        <f aca="false">tblJoueurs!$D72 &amp; " " &amp;tblJoueurs!$C72</f>
        <v>Félix Labrecque-Synnott</v>
      </c>
    </row>
    <row r="73" customFormat="false" ht="15" hidden="false" customHeight="false" outlineLevel="0" collapsed="false">
      <c r="A73" s="1" t="n">
        <v>7</v>
      </c>
      <c r="B73" s="1" t="n">
        <v>8</v>
      </c>
      <c r="C73" s="1" t="s">
        <v>46</v>
      </c>
      <c r="D73" s="1" t="s">
        <v>46</v>
      </c>
      <c r="E73" s="1" t="s">
        <v>46</v>
      </c>
      <c r="F73" s="1" t="s">
        <v>47</v>
      </c>
      <c r="G73" s="1" t="n">
        <v>1</v>
      </c>
      <c r="H73" s="1" t="n">
        <v>0</v>
      </c>
      <c r="I73" s="1" t="n">
        <f aca="false">tblJoueurs!$A73</f>
        <v>7</v>
      </c>
      <c r="J73" s="1" t="n">
        <f aca="false">tblJoueurs!$B73</f>
        <v>8</v>
      </c>
      <c r="K73" s="1" t="str">
        <f aca="false">tblJoueurs!$D73 &amp; " " &amp;tblJoueurs!$C73</f>
        <v>Absent Absent</v>
      </c>
    </row>
    <row r="74" customFormat="false" ht="15" hidden="false" customHeight="false" outlineLevel="0" collapsed="false">
      <c r="A74" s="1" t="n">
        <v>7</v>
      </c>
      <c r="B74" s="1" t="n">
        <v>9</v>
      </c>
      <c r="C74" s="1" t="s">
        <v>19</v>
      </c>
      <c r="D74" s="1" t="s">
        <v>41</v>
      </c>
      <c r="E74" s="1" t="s">
        <v>41</v>
      </c>
      <c r="F74" s="1" t="s">
        <v>47</v>
      </c>
      <c r="G74" s="1" t="n">
        <v>1</v>
      </c>
      <c r="H74" s="1" t="n">
        <v>0</v>
      </c>
      <c r="I74" s="1" t="n">
        <f aca="false">tblJoueurs!$A74</f>
        <v>7</v>
      </c>
      <c r="J74" s="1" t="n">
        <f aca="false">tblJoueurs!$B74</f>
        <v>9</v>
      </c>
      <c r="K74" s="1" t="str">
        <f aca="false">tblJoueurs!$D74 &amp; " " &amp;tblJoueurs!$C74</f>
        <v>Catherine NA</v>
      </c>
    </row>
    <row r="75" customFormat="false" ht="15" hidden="false" customHeight="false" outlineLevel="0" collapsed="false">
      <c r="A75" s="1" t="n">
        <v>7</v>
      </c>
      <c r="B75" s="1" t="n">
        <v>10</v>
      </c>
      <c r="C75" s="1" t="s">
        <v>19</v>
      </c>
      <c r="D75" s="1" t="s">
        <v>144</v>
      </c>
      <c r="E75" s="1" t="s">
        <v>144</v>
      </c>
      <c r="F75" s="1" t="s">
        <v>47</v>
      </c>
      <c r="G75" s="1" t="n">
        <v>1</v>
      </c>
      <c r="H75" s="1" t="n">
        <v>0</v>
      </c>
      <c r="I75" s="1" t="n">
        <f aca="false">tblJoueurs!$A75</f>
        <v>7</v>
      </c>
      <c r="J75" s="1" t="n">
        <f aca="false">tblJoueurs!$B75</f>
        <v>10</v>
      </c>
      <c r="K75" s="1" t="str">
        <f aca="false">tblJoueurs!$D75 &amp; " " &amp;tblJoueurs!$C75</f>
        <v>Louis NA</v>
      </c>
    </row>
    <row r="76" customFormat="false" ht="15" hidden="false" customHeight="false" outlineLevel="0" collapsed="false">
      <c r="A76" s="1" t="n">
        <v>7</v>
      </c>
      <c r="B76" s="1" t="n">
        <v>11</v>
      </c>
      <c r="C76" s="1" t="s">
        <v>145</v>
      </c>
      <c r="D76" s="1" t="s">
        <v>125</v>
      </c>
      <c r="E76" s="1" t="s">
        <v>125</v>
      </c>
      <c r="F76" s="1" t="s">
        <v>47</v>
      </c>
      <c r="G76" s="1" t="n">
        <v>1</v>
      </c>
      <c r="H76" s="1" t="n">
        <v>0</v>
      </c>
      <c r="I76" s="1" t="n">
        <f aca="false">tblJoueurs!$A76</f>
        <v>7</v>
      </c>
      <c r="J76" s="1" t="n">
        <f aca="false">tblJoueurs!$B76</f>
        <v>11</v>
      </c>
      <c r="K76" s="1" t="str">
        <f aca="false">tblJoueurs!$D76 &amp; " " &amp;tblJoueurs!$C76</f>
        <v>Étienne Lemyre (Faciles)</v>
      </c>
    </row>
    <row r="77" customFormat="false" ht="15" hidden="false" customHeight="false" outlineLevel="0" collapsed="false">
      <c r="A77" s="1" t="n">
        <v>7</v>
      </c>
      <c r="B77" s="1" t="n">
        <v>12</v>
      </c>
      <c r="C77" s="1" t="s">
        <v>146</v>
      </c>
      <c r="D77" s="1" t="s">
        <v>147</v>
      </c>
      <c r="E77" s="1" t="s">
        <v>147</v>
      </c>
      <c r="F77" s="1" t="s">
        <v>47</v>
      </c>
      <c r="G77" s="1" t="n">
        <v>1</v>
      </c>
      <c r="H77" s="1" t="n">
        <v>0</v>
      </c>
      <c r="I77" s="1" t="n">
        <f aca="false">tblJoueurs!$A77</f>
        <v>7</v>
      </c>
      <c r="J77" s="1" t="n">
        <f aca="false">tblJoueurs!$B77</f>
        <v>12</v>
      </c>
      <c r="K77" s="1" t="str">
        <f aca="false">tblJoueurs!$D77 &amp; " " &amp;tblJoueurs!$C77</f>
        <v>Élizabeth LeBlanc</v>
      </c>
    </row>
    <row r="78" customFormat="false" ht="15" hidden="false" customHeight="false" outlineLevel="0" collapsed="false">
      <c r="A78" s="1" t="n">
        <v>7</v>
      </c>
      <c r="B78" s="1" t="n">
        <v>99</v>
      </c>
      <c r="C78" s="1" t="s">
        <v>23</v>
      </c>
      <c r="D78" s="1" t="s">
        <v>19</v>
      </c>
      <c r="E78" s="1" t="s">
        <v>23</v>
      </c>
      <c r="F78" s="1" t="s">
        <v>54</v>
      </c>
      <c r="G78" s="1" t="n">
        <v>1</v>
      </c>
      <c r="H78" s="1" t="n">
        <v>0</v>
      </c>
      <c r="I78" s="1" t="n">
        <f aca="false">tblJoueurs!$A78</f>
        <v>7</v>
      </c>
      <c r="J78" s="1" t="n">
        <f aca="false">tblJoueurs!$B78</f>
        <v>99</v>
      </c>
      <c r="K78" s="1" t="str">
        <f aca="false">tblJoueurs!$D78 &amp; " " &amp;tblJoueurs!$C78</f>
        <v>NA Les Faciles à cuire</v>
      </c>
    </row>
    <row r="79" customFormat="false" ht="15" hidden="false" customHeight="false" outlineLevel="0" collapsed="false">
      <c r="I79" s="1" t="n">
        <f aca="false">tblJoueurs!$A79</f>
        <v>0</v>
      </c>
      <c r="J79" s="1" t="n">
        <f aca="false">tblJoueurs!$B79</f>
        <v>0</v>
      </c>
      <c r="K79" s="1" t="str">
        <f aca="false">tblJoueurs!$D79 &amp; " " &amp;tblJoueurs!$C79</f>
        <v> </v>
      </c>
    </row>
    <row r="80" customFormat="false" ht="15" hidden="false" customHeight="false" outlineLevel="0" collapsed="false">
      <c r="I80" s="1" t="n">
        <f aca="false">tblJoueurs!$A80</f>
        <v>0</v>
      </c>
      <c r="J80" s="1" t="n">
        <f aca="false">tblJoueurs!$B80</f>
        <v>0</v>
      </c>
      <c r="K80" s="1" t="str">
        <f aca="false">tblJoueurs!$D80 &amp; " " &amp;tblJoueurs!$C80</f>
        <v> </v>
      </c>
    </row>
    <row r="81" customFormat="false" ht="15" hidden="false" customHeight="false" outlineLevel="0" collapsed="false">
      <c r="I81" s="1" t="n">
        <f aca="false">tblJoueurs!$A81</f>
        <v>0</v>
      </c>
      <c r="J81" s="1" t="n">
        <f aca="false">tblJoueurs!$B81</f>
        <v>0</v>
      </c>
      <c r="K81" s="1" t="str">
        <f aca="false">tblJoueurs!$D81 &amp; " " &amp;tblJoueurs!$C81</f>
        <v> </v>
      </c>
    </row>
    <row r="82" customFormat="false" ht="15" hidden="false" customHeight="false" outlineLevel="0" collapsed="false">
      <c r="I82" s="1" t="n">
        <f aca="false">tblJoueurs!$A82</f>
        <v>0</v>
      </c>
      <c r="J82" s="1" t="n">
        <f aca="false">tblJoueurs!$B82</f>
        <v>0</v>
      </c>
      <c r="K82" s="1" t="str">
        <f aca="false">tblJoueurs!$D82 &amp; " " &amp;tblJoueurs!$C82</f>
        <v> </v>
      </c>
    </row>
    <row r="83" customFormat="false" ht="15" hidden="false" customHeight="false" outlineLevel="0" collapsed="false">
      <c r="I83" s="1" t="n">
        <f aca="false">tblJoueurs!$A83</f>
        <v>0</v>
      </c>
      <c r="J83" s="1" t="n">
        <f aca="false">tblJoueurs!$B83</f>
        <v>0</v>
      </c>
      <c r="K83" s="1" t="str">
        <f aca="false">tblJoueurs!$D83 &amp; " " &amp;tblJoueurs!$C83</f>
        <v> 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K4:K13 A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9.57"/>
    <col collapsed="false" customWidth="true" hidden="false" outlineLevel="0" max="3" min="3" style="1" width="25"/>
    <col collapsed="false" customWidth="true" hidden="false" outlineLevel="0" max="4" min="4" style="1" width="15.57"/>
    <col collapsed="false" customWidth="true" hidden="false" outlineLevel="0" max="5" min="5" style="1" width="25"/>
    <col collapsed="false" customWidth="true" hidden="false" outlineLevel="0" max="7" min="7" style="1" width="5.86"/>
    <col collapsed="false" customWidth="true" hidden="false" outlineLevel="0" max="8" min="8" style="1" width="11.57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customFormat="false" ht="15" hidden="false" customHeight="false" outlineLevel="0" collapsed="false">
      <c r="A2" s="1" t="n">
        <v>1</v>
      </c>
      <c r="B2" s="1" t="n">
        <v>7</v>
      </c>
      <c r="C2" s="1" t="s">
        <v>46</v>
      </c>
      <c r="D2" s="1" t="s">
        <v>46</v>
      </c>
      <c r="E2" s="1" t="s">
        <v>46</v>
      </c>
      <c r="F2" s="1" t="s">
        <v>47</v>
      </c>
      <c r="G2" s="1" t="n">
        <v>1</v>
      </c>
      <c r="H2" s="1" t="n">
        <v>0</v>
      </c>
    </row>
    <row r="3" customFormat="false" ht="15" hidden="false" customHeight="false" outlineLevel="0" collapsed="false">
      <c r="A3" s="1" t="n">
        <v>1</v>
      </c>
      <c r="B3" s="1" t="n">
        <v>99</v>
      </c>
      <c r="C3" s="1" t="s">
        <v>18</v>
      </c>
      <c r="D3" s="1" t="s">
        <v>19</v>
      </c>
      <c r="E3" s="1" t="s">
        <v>18</v>
      </c>
      <c r="F3" s="1" t="s">
        <v>54</v>
      </c>
      <c r="G3" s="1" t="n">
        <v>1</v>
      </c>
      <c r="H3" s="1" t="n">
        <v>0</v>
      </c>
    </row>
    <row r="4" customFormat="false" ht="15" hidden="false" customHeight="false" outlineLevel="0" collapsed="false">
      <c r="A4" s="1" t="n">
        <v>7</v>
      </c>
      <c r="B4" s="1" t="n">
        <v>6</v>
      </c>
      <c r="C4" s="1" t="s">
        <v>148</v>
      </c>
      <c r="D4" s="1" t="s">
        <v>149</v>
      </c>
      <c r="E4" s="1" t="s">
        <v>149</v>
      </c>
      <c r="F4" s="1" t="s">
        <v>47</v>
      </c>
      <c r="G4" s="1" t="n">
        <v>1</v>
      </c>
      <c r="H4" s="1" t="n">
        <v>0</v>
      </c>
    </row>
    <row r="5" customFormat="false" ht="15" hidden="false" customHeight="false" outlineLevel="0" collapsed="false">
      <c r="A5" s="1" t="n">
        <v>2</v>
      </c>
      <c r="B5" s="1" t="n">
        <v>7</v>
      </c>
      <c r="C5" s="1" t="s">
        <v>67</v>
      </c>
      <c r="D5" s="1" t="s">
        <v>68</v>
      </c>
      <c r="E5" s="1" t="s">
        <v>68</v>
      </c>
      <c r="F5" s="1" t="s">
        <v>37</v>
      </c>
      <c r="G5" s="1" t="n">
        <v>1</v>
      </c>
      <c r="H5" s="1" t="n">
        <v>0</v>
      </c>
    </row>
    <row r="6" customFormat="false" ht="15" hidden="false" customHeight="false" outlineLevel="0" collapsed="false">
      <c r="A6" s="1" t="n">
        <v>6</v>
      </c>
      <c r="B6" s="1" t="n">
        <v>7</v>
      </c>
      <c r="C6" s="1" t="s">
        <v>126</v>
      </c>
      <c r="D6" s="1" t="s">
        <v>127</v>
      </c>
      <c r="E6" s="1" t="s">
        <v>127</v>
      </c>
      <c r="F6" s="1" t="s">
        <v>47</v>
      </c>
      <c r="G6" s="1" t="n">
        <v>1</v>
      </c>
      <c r="H6" s="1" t="n">
        <v>0</v>
      </c>
    </row>
    <row r="7" customFormat="false" ht="15" hidden="false" customHeight="false" outlineLevel="0" collapsed="false">
      <c r="A7" s="1" t="n">
        <v>7</v>
      </c>
      <c r="B7" s="1" t="n">
        <v>9</v>
      </c>
      <c r="C7" s="1" t="s">
        <v>19</v>
      </c>
      <c r="D7" s="1" t="s">
        <v>41</v>
      </c>
      <c r="E7" s="1" t="s">
        <v>41</v>
      </c>
      <c r="F7" s="1" t="s">
        <v>47</v>
      </c>
      <c r="G7" s="1" t="n">
        <v>1</v>
      </c>
      <c r="H7" s="1" t="n">
        <v>0</v>
      </c>
    </row>
    <row r="8" customFormat="false" ht="15" hidden="false" customHeight="false" outlineLevel="0" collapsed="false">
      <c r="A8" s="1" t="n">
        <v>3</v>
      </c>
      <c r="B8" s="1" t="n">
        <v>6</v>
      </c>
      <c r="C8" s="1" t="s">
        <v>82</v>
      </c>
      <c r="D8" s="1" t="s">
        <v>83</v>
      </c>
      <c r="E8" s="1" t="s">
        <v>83</v>
      </c>
      <c r="F8" s="1" t="s">
        <v>47</v>
      </c>
      <c r="G8" s="1" t="n">
        <v>1</v>
      </c>
      <c r="H8" s="1" t="n">
        <v>0</v>
      </c>
    </row>
    <row r="9" customFormat="false" ht="15" hidden="false" customHeight="false" outlineLevel="0" collapsed="false">
      <c r="A9" s="1" t="n">
        <v>7</v>
      </c>
      <c r="B9" s="1" t="n">
        <v>10</v>
      </c>
      <c r="C9" s="1" t="s">
        <v>19</v>
      </c>
      <c r="D9" s="1" t="s">
        <v>144</v>
      </c>
      <c r="E9" s="1" t="s">
        <v>144</v>
      </c>
      <c r="F9" s="1" t="s">
        <v>47</v>
      </c>
      <c r="G9" s="1" t="n">
        <v>1</v>
      </c>
      <c r="H9" s="1" t="n">
        <v>0</v>
      </c>
    </row>
    <row r="10" customFormat="false" ht="15" hidden="false" customHeight="false" outlineLevel="0" collapsed="false">
      <c r="A10" s="1" t="n">
        <v>3</v>
      </c>
      <c r="B10" s="1" t="n">
        <v>7</v>
      </c>
      <c r="C10" s="1" t="s">
        <v>84</v>
      </c>
      <c r="D10" s="1" t="s">
        <v>85</v>
      </c>
      <c r="E10" s="1" t="s">
        <v>85</v>
      </c>
      <c r="F10" s="1" t="s">
        <v>47</v>
      </c>
      <c r="G10" s="1" t="n">
        <v>1</v>
      </c>
      <c r="H10" s="1" t="n">
        <v>0</v>
      </c>
    </row>
    <row r="11" customFormat="false" ht="15" hidden="false" customHeight="false" outlineLevel="0" collapsed="false">
      <c r="A11" s="1" t="n">
        <v>7</v>
      </c>
      <c r="B11" s="1" t="n">
        <v>7</v>
      </c>
      <c r="C11" s="1" t="s">
        <v>150</v>
      </c>
      <c r="D11" s="1" t="s">
        <v>151</v>
      </c>
      <c r="E11" s="1" t="s">
        <v>151</v>
      </c>
      <c r="F11" s="1" t="s">
        <v>47</v>
      </c>
      <c r="G11" s="1" t="n">
        <v>1</v>
      </c>
      <c r="H11" s="1" t="n">
        <v>0</v>
      </c>
    </row>
    <row r="12" customFormat="false" ht="15" hidden="false" customHeight="false" outlineLevel="0" collapsed="false">
      <c r="A12" s="1" t="n">
        <v>6</v>
      </c>
      <c r="B12" s="1" t="n">
        <v>4</v>
      </c>
      <c r="C12" s="1" t="s">
        <v>120</v>
      </c>
      <c r="D12" s="1" t="s">
        <v>121</v>
      </c>
      <c r="E12" s="1" t="s">
        <v>121</v>
      </c>
      <c r="F12" s="1" t="s">
        <v>37</v>
      </c>
      <c r="G12" s="1" t="n">
        <v>1</v>
      </c>
      <c r="H12" s="1" t="n">
        <v>0</v>
      </c>
    </row>
    <row r="13" customFormat="false" ht="15" hidden="false" customHeight="false" outlineLevel="0" collapsed="false">
      <c r="A13" s="1" t="n">
        <v>6</v>
      </c>
      <c r="B13" s="1" t="n">
        <v>8</v>
      </c>
      <c r="C13" s="1" t="s">
        <v>128</v>
      </c>
      <c r="D13" s="1" t="s">
        <v>129</v>
      </c>
      <c r="E13" s="1" t="s">
        <v>129</v>
      </c>
      <c r="F13" s="1" t="s">
        <v>47</v>
      </c>
      <c r="G13" s="1" t="n">
        <v>1</v>
      </c>
      <c r="H13" s="1" t="n">
        <v>0</v>
      </c>
    </row>
    <row r="14" customFormat="false" ht="15" hidden="false" customHeight="false" outlineLevel="0" collapsed="false">
      <c r="A14" s="1" t="n">
        <v>7</v>
      </c>
      <c r="B14" s="1" t="n">
        <v>11</v>
      </c>
      <c r="C14" s="1" t="s">
        <v>145</v>
      </c>
      <c r="D14" s="1" t="s">
        <v>125</v>
      </c>
      <c r="E14" s="1" t="s">
        <v>125</v>
      </c>
      <c r="F14" s="1" t="s">
        <v>47</v>
      </c>
      <c r="G14" s="1" t="n">
        <v>1</v>
      </c>
      <c r="H14" s="1" t="n">
        <v>0</v>
      </c>
    </row>
    <row r="15" customFormat="false" ht="15" hidden="false" customHeight="false" outlineLevel="0" collapsed="false">
      <c r="A15" s="1" t="n">
        <v>6</v>
      </c>
      <c r="B15" s="1" t="n">
        <v>9</v>
      </c>
      <c r="C15" s="1" t="s">
        <v>130</v>
      </c>
      <c r="D15" s="1" t="s">
        <v>131</v>
      </c>
      <c r="E15" s="1" t="s">
        <v>131</v>
      </c>
      <c r="F15" s="1" t="s">
        <v>47</v>
      </c>
      <c r="G15" s="1" t="n">
        <v>1</v>
      </c>
      <c r="H15" s="1" t="n">
        <v>0</v>
      </c>
    </row>
    <row r="16" customFormat="false" ht="15" hidden="false" customHeight="false" outlineLevel="0" collapsed="false">
      <c r="A16" s="1" t="n">
        <v>4</v>
      </c>
      <c r="B16" s="1" t="n">
        <v>5</v>
      </c>
      <c r="C16" s="1" t="s">
        <v>93</v>
      </c>
      <c r="D16" s="1" t="s">
        <v>94</v>
      </c>
      <c r="E16" s="1" t="s">
        <v>94</v>
      </c>
      <c r="F16" s="1" t="s">
        <v>47</v>
      </c>
      <c r="G16" s="1" t="n">
        <v>1</v>
      </c>
      <c r="H16" s="1" t="n">
        <v>0</v>
      </c>
    </row>
    <row r="17" customFormat="false" ht="15" hidden="false" customHeight="false" outlineLevel="0" collapsed="false">
      <c r="A17" s="1" t="n">
        <v>1</v>
      </c>
      <c r="B17" s="1" t="n">
        <v>6</v>
      </c>
      <c r="C17" s="1" t="s">
        <v>44</v>
      </c>
      <c r="D17" s="1" t="s">
        <v>45</v>
      </c>
      <c r="E17" s="1" t="s">
        <v>45</v>
      </c>
      <c r="F17" s="1" t="s">
        <v>37</v>
      </c>
      <c r="G17" s="1" t="n">
        <v>1</v>
      </c>
      <c r="H17" s="1" t="n">
        <v>0</v>
      </c>
    </row>
    <row r="18" customFormat="false" ht="15" hidden="false" customHeight="false" outlineLevel="0" collapsed="false">
      <c r="A18" s="1" t="n">
        <v>2</v>
      </c>
      <c r="B18" s="1" t="n">
        <v>1</v>
      </c>
      <c r="C18" s="1" t="s">
        <v>55</v>
      </c>
      <c r="D18" s="1" t="s">
        <v>56</v>
      </c>
      <c r="E18" s="1" t="s">
        <v>56</v>
      </c>
      <c r="F18" s="1" t="s">
        <v>34</v>
      </c>
      <c r="G18" s="1" t="n">
        <v>1</v>
      </c>
      <c r="H18" s="1" t="n">
        <v>1</v>
      </c>
    </row>
    <row r="19" customFormat="false" ht="15" hidden="false" customHeight="false" outlineLevel="0" collapsed="false">
      <c r="A19" s="1" t="n">
        <v>2</v>
      </c>
      <c r="B19" s="1" t="n">
        <v>2</v>
      </c>
      <c r="C19" s="1" t="s">
        <v>57</v>
      </c>
      <c r="D19" s="1" t="s">
        <v>58</v>
      </c>
      <c r="E19" s="1" t="s">
        <v>58</v>
      </c>
      <c r="F19" s="1" t="s">
        <v>37</v>
      </c>
      <c r="G19" s="1" t="n">
        <v>1</v>
      </c>
      <c r="H19" s="1" t="n">
        <v>0</v>
      </c>
    </row>
    <row r="20" customFormat="false" ht="15" hidden="false" customHeight="false" outlineLevel="0" collapsed="false">
      <c r="A20" s="1" t="n">
        <v>2</v>
      </c>
      <c r="B20" s="1" t="n">
        <v>3</v>
      </c>
      <c r="C20" s="1" t="s">
        <v>59</v>
      </c>
      <c r="D20" s="1" t="s">
        <v>60</v>
      </c>
      <c r="E20" s="1" t="s">
        <v>60</v>
      </c>
      <c r="F20" s="1" t="s">
        <v>37</v>
      </c>
      <c r="G20" s="1" t="n">
        <v>1</v>
      </c>
      <c r="H20" s="1" t="n">
        <v>4</v>
      </c>
    </row>
    <row r="21" customFormat="false" ht="15" hidden="false" customHeight="false" outlineLevel="0" collapsed="false">
      <c r="A21" s="1" t="n">
        <v>2</v>
      </c>
      <c r="B21" s="1" t="n">
        <v>4</v>
      </c>
      <c r="C21" s="1" t="s">
        <v>61</v>
      </c>
      <c r="D21" s="1" t="s">
        <v>62</v>
      </c>
      <c r="E21" s="1" t="s">
        <v>62</v>
      </c>
      <c r="F21" s="1" t="s">
        <v>37</v>
      </c>
      <c r="G21" s="1" t="n">
        <v>1</v>
      </c>
      <c r="H21" s="1" t="n">
        <v>2</v>
      </c>
    </row>
    <row r="22" customFormat="false" ht="15" hidden="false" customHeight="false" outlineLevel="0" collapsed="false">
      <c r="A22" s="1" t="n">
        <v>2</v>
      </c>
      <c r="B22" s="1" t="n">
        <v>5</v>
      </c>
      <c r="C22" s="1" t="s">
        <v>63</v>
      </c>
      <c r="D22" s="1" t="s">
        <v>64</v>
      </c>
      <c r="E22" s="1" t="s">
        <v>64</v>
      </c>
      <c r="F22" s="1" t="s">
        <v>47</v>
      </c>
      <c r="G22" s="1" t="n">
        <v>1</v>
      </c>
      <c r="H22" s="1" t="n">
        <v>3</v>
      </c>
    </row>
    <row r="23" customFormat="false" ht="15" hidden="false" customHeight="false" outlineLevel="0" collapsed="false">
      <c r="A23" s="1" t="n">
        <v>2</v>
      </c>
      <c r="B23" s="1" t="n">
        <v>6</v>
      </c>
      <c r="C23" s="1" t="s">
        <v>65</v>
      </c>
      <c r="D23" s="1" t="s">
        <v>66</v>
      </c>
      <c r="E23" s="1" t="s">
        <v>66</v>
      </c>
      <c r="F23" s="1" t="s">
        <v>47</v>
      </c>
      <c r="G23" s="1" t="n">
        <v>1</v>
      </c>
      <c r="H23" s="1" t="n">
        <v>0</v>
      </c>
    </row>
    <row r="24" customFormat="false" ht="15" hidden="false" customHeight="false" outlineLevel="0" collapsed="false">
      <c r="A24" s="1" t="n">
        <v>2</v>
      </c>
      <c r="B24" s="1" t="n">
        <v>8</v>
      </c>
      <c r="C24" s="1" t="s">
        <v>46</v>
      </c>
      <c r="D24" s="1" t="s">
        <v>46</v>
      </c>
      <c r="E24" s="1" t="s">
        <v>46</v>
      </c>
      <c r="F24" s="1" t="s">
        <v>47</v>
      </c>
      <c r="G24" s="1" t="n">
        <v>1</v>
      </c>
      <c r="H24" s="1" t="n">
        <v>0</v>
      </c>
    </row>
    <row r="25" customFormat="false" ht="15" hidden="false" customHeight="false" outlineLevel="0" collapsed="false">
      <c r="A25" s="1" t="n">
        <v>2</v>
      </c>
      <c r="B25" s="1" t="n">
        <v>99</v>
      </c>
      <c r="C25" s="1" t="s">
        <v>20</v>
      </c>
      <c r="D25" s="1" t="s">
        <v>19</v>
      </c>
      <c r="E25" s="1" t="s">
        <v>20</v>
      </c>
      <c r="F25" s="1" t="s">
        <v>54</v>
      </c>
      <c r="G25" s="1" t="n">
        <v>1</v>
      </c>
      <c r="H25" s="1" t="n">
        <v>0</v>
      </c>
    </row>
    <row r="26" customFormat="false" ht="15" hidden="false" customHeight="false" outlineLevel="0" collapsed="false">
      <c r="A26" s="1" t="n">
        <v>3</v>
      </c>
      <c r="B26" s="1" t="n">
        <v>1</v>
      </c>
      <c r="C26" s="1" t="s">
        <v>72</v>
      </c>
      <c r="D26" s="1" t="s">
        <v>73</v>
      </c>
      <c r="E26" s="1" t="s">
        <v>73</v>
      </c>
      <c r="F26" s="1" t="s">
        <v>34</v>
      </c>
      <c r="G26" s="1" t="n">
        <v>1</v>
      </c>
      <c r="H26" s="1" t="n">
        <v>3</v>
      </c>
    </row>
    <row r="27" customFormat="false" ht="15" hidden="false" customHeight="false" outlineLevel="0" collapsed="false">
      <c r="A27" s="1" t="n">
        <v>3</v>
      </c>
      <c r="B27" s="1" t="n">
        <v>2</v>
      </c>
      <c r="C27" s="1" t="s">
        <v>74</v>
      </c>
      <c r="D27" s="1" t="s">
        <v>75</v>
      </c>
      <c r="E27" s="1" t="s">
        <v>75</v>
      </c>
      <c r="F27" s="1" t="s">
        <v>37</v>
      </c>
      <c r="G27" s="1" t="n">
        <v>1</v>
      </c>
      <c r="H27" s="1" t="n">
        <v>1</v>
      </c>
    </row>
    <row r="28" customFormat="false" ht="15" hidden="false" customHeight="false" outlineLevel="0" collapsed="false">
      <c r="A28" s="1" t="n">
        <v>3</v>
      </c>
      <c r="B28" s="1" t="n">
        <v>3</v>
      </c>
      <c r="C28" s="1" t="s">
        <v>76</v>
      </c>
      <c r="D28" s="1" t="s">
        <v>77</v>
      </c>
      <c r="E28" s="1" t="s">
        <v>77</v>
      </c>
      <c r="F28" s="1" t="s">
        <v>37</v>
      </c>
      <c r="G28" s="1" t="n">
        <v>1</v>
      </c>
      <c r="H28" s="1" t="n">
        <v>2</v>
      </c>
    </row>
    <row r="29" customFormat="false" ht="15" hidden="false" customHeight="false" outlineLevel="0" collapsed="false">
      <c r="A29" s="1" t="n">
        <v>3</v>
      </c>
      <c r="B29" s="1" t="n">
        <v>4</v>
      </c>
      <c r="C29" s="1" t="s">
        <v>78</v>
      </c>
      <c r="D29" s="1" t="s">
        <v>79</v>
      </c>
      <c r="E29" s="1" t="s">
        <v>79</v>
      </c>
      <c r="F29" s="1" t="s">
        <v>37</v>
      </c>
      <c r="G29" s="1" t="n">
        <v>1</v>
      </c>
      <c r="H29" s="1" t="n">
        <v>0</v>
      </c>
    </row>
    <row r="30" customFormat="false" ht="15" hidden="false" customHeight="false" outlineLevel="0" collapsed="false">
      <c r="A30" s="1" t="n">
        <v>3</v>
      </c>
      <c r="B30" s="1" t="n">
        <v>5</v>
      </c>
      <c r="C30" s="1" t="s">
        <v>80</v>
      </c>
      <c r="D30" s="1" t="s">
        <v>81</v>
      </c>
      <c r="E30" s="1" t="s">
        <v>81</v>
      </c>
      <c r="F30" s="1" t="s">
        <v>47</v>
      </c>
      <c r="G30" s="1" t="n">
        <v>1</v>
      </c>
      <c r="H30" s="1" t="n">
        <v>0</v>
      </c>
    </row>
    <row r="31" customFormat="false" ht="15" hidden="false" customHeight="false" outlineLevel="0" collapsed="false">
      <c r="A31" s="1" t="n">
        <v>3</v>
      </c>
      <c r="B31" s="1" t="n">
        <v>8</v>
      </c>
      <c r="C31" s="1" t="s">
        <v>46</v>
      </c>
      <c r="D31" s="1" t="s">
        <v>46</v>
      </c>
      <c r="E31" s="1" t="s">
        <v>46</v>
      </c>
      <c r="F31" s="1" t="s">
        <v>47</v>
      </c>
      <c r="G31" s="1" t="n">
        <v>1</v>
      </c>
      <c r="H31" s="1" t="n">
        <v>0</v>
      </c>
    </row>
    <row r="32" customFormat="false" ht="15" hidden="false" customHeight="false" outlineLevel="0" collapsed="false">
      <c r="A32" s="1" t="n">
        <v>3</v>
      </c>
      <c r="B32" s="1" t="n">
        <v>99</v>
      </c>
      <c r="C32" s="1" t="s">
        <v>21</v>
      </c>
      <c r="D32" s="1" t="s">
        <v>19</v>
      </c>
      <c r="E32" s="1" t="s">
        <v>21</v>
      </c>
      <c r="F32" s="1" t="s">
        <v>54</v>
      </c>
      <c r="G32" s="1" t="n">
        <v>1</v>
      </c>
      <c r="H32" s="1" t="n">
        <v>0</v>
      </c>
    </row>
    <row r="33" customFormat="false" ht="15" hidden="false" customHeight="false" outlineLevel="0" collapsed="false">
      <c r="A33" s="1" t="n">
        <v>4</v>
      </c>
      <c r="B33" s="1" t="n">
        <v>1</v>
      </c>
      <c r="C33" s="1" t="s">
        <v>86</v>
      </c>
      <c r="D33" s="1" t="s">
        <v>87</v>
      </c>
      <c r="E33" s="1" t="s">
        <v>87</v>
      </c>
      <c r="F33" s="1" t="s">
        <v>34</v>
      </c>
      <c r="G33" s="1" t="n">
        <v>1</v>
      </c>
      <c r="H33" s="1" t="n">
        <v>1</v>
      </c>
    </row>
    <row r="34" customFormat="false" ht="15" hidden="false" customHeight="false" outlineLevel="0" collapsed="false">
      <c r="A34" s="1" t="n">
        <v>4</v>
      </c>
      <c r="B34" s="1" t="n">
        <v>2</v>
      </c>
      <c r="C34" s="1" t="s">
        <v>88</v>
      </c>
      <c r="D34" s="1" t="s">
        <v>89</v>
      </c>
      <c r="E34" s="1" t="s">
        <v>89</v>
      </c>
      <c r="F34" s="1" t="s">
        <v>37</v>
      </c>
      <c r="G34" s="1" t="n">
        <v>1</v>
      </c>
      <c r="H34" s="1" t="n">
        <v>4</v>
      </c>
    </row>
    <row r="35" customFormat="false" ht="15" hidden="false" customHeight="false" outlineLevel="0" collapsed="false">
      <c r="A35" s="1" t="n">
        <v>4</v>
      </c>
      <c r="B35" s="1" t="n">
        <v>3</v>
      </c>
      <c r="C35" s="1" t="s">
        <v>90</v>
      </c>
      <c r="D35" s="1" t="s">
        <v>91</v>
      </c>
      <c r="E35" s="1" t="s">
        <v>91</v>
      </c>
      <c r="F35" s="1" t="s">
        <v>37</v>
      </c>
      <c r="G35" s="1" t="n">
        <v>1</v>
      </c>
      <c r="H35" s="1" t="n">
        <v>2</v>
      </c>
    </row>
    <row r="36" customFormat="false" ht="15" hidden="false" customHeight="false" outlineLevel="0" collapsed="false">
      <c r="A36" s="1" t="n">
        <v>4</v>
      </c>
      <c r="B36" s="1" t="n">
        <v>4</v>
      </c>
      <c r="C36" s="1" t="s">
        <v>92</v>
      </c>
      <c r="D36" s="1" t="s">
        <v>58</v>
      </c>
      <c r="E36" s="1" t="s">
        <v>58</v>
      </c>
      <c r="F36" s="1" t="s">
        <v>37</v>
      </c>
      <c r="G36" s="1" t="n">
        <v>1</v>
      </c>
      <c r="H36" s="1" t="n">
        <v>0</v>
      </c>
    </row>
    <row r="37" customFormat="false" ht="15" hidden="false" customHeight="false" outlineLevel="0" collapsed="false">
      <c r="A37" s="1" t="n">
        <v>4</v>
      </c>
      <c r="B37" s="1" t="n">
        <v>6</v>
      </c>
      <c r="C37" s="1" t="s">
        <v>95</v>
      </c>
      <c r="D37" s="1" t="s">
        <v>96</v>
      </c>
      <c r="E37" s="1" t="s">
        <v>96</v>
      </c>
      <c r="F37" s="1" t="s">
        <v>47</v>
      </c>
      <c r="G37" s="1" t="n">
        <v>1</v>
      </c>
      <c r="H37" s="1" t="n">
        <v>3</v>
      </c>
    </row>
    <row r="38" customFormat="false" ht="15" hidden="false" customHeight="false" outlineLevel="0" collapsed="false">
      <c r="A38" s="1" t="n">
        <v>4</v>
      </c>
      <c r="B38" s="1" t="n">
        <v>7</v>
      </c>
      <c r="C38" s="1" t="s">
        <v>69</v>
      </c>
      <c r="D38" s="1" t="s">
        <v>97</v>
      </c>
      <c r="E38" s="1" t="s">
        <v>97</v>
      </c>
      <c r="F38" s="1" t="s">
        <v>47</v>
      </c>
      <c r="G38" s="1" t="n">
        <v>1</v>
      </c>
      <c r="H38" s="1" t="n">
        <v>0</v>
      </c>
    </row>
    <row r="39" customFormat="false" ht="15" hidden="false" customHeight="false" outlineLevel="0" collapsed="false">
      <c r="A39" s="1" t="n">
        <v>4</v>
      </c>
      <c r="B39" s="1" t="n">
        <v>8</v>
      </c>
      <c r="C39" s="1" t="s">
        <v>98</v>
      </c>
      <c r="D39" s="1" t="s">
        <v>99</v>
      </c>
      <c r="E39" s="1" t="s">
        <v>99</v>
      </c>
      <c r="F39" s="1" t="s">
        <v>47</v>
      </c>
      <c r="G39" s="1" t="n">
        <v>1</v>
      </c>
      <c r="H39" s="1" t="n">
        <v>0</v>
      </c>
    </row>
    <row r="40" customFormat="false" ht="15" hidden="false" customHeight="false" outlineLevel="0" collapsed="false">
      <c r="A40" s="1" t="n">
        <v>4</v>
      </c>
      <c r="B40" s="1" t="n">
        <v>9</v>
      </c>
      <c r="C40" s="1" t="s">
        <v>46</v>
      </c>
      <c r="D40" s="1" t="s">
        <v>46</v>
      </c>
      <c r="E40" s="1" t="s">
        <v>46</v>
      </c>
      <c r="F40" s="1" t="s">
        <v>47</v>
      </c>
      <c r="G40" s="1" t="n">
        <v>1</v>
      </c>
      <c r="H40" s="1" t="n">
        <v>0</v>
      </c>
    </row>
    <row r="41" customFormat="false" ht="15" hidden="false" customHeight="false" outlineLevel="0" collapsed="false">
      <c r="A41" s="1" t="n">
        <v>4</v>
      </c>
      <c r="B41" s="1" t="n">
        <v>99</v>
      </c>
      <c r="C41" s="1" t="s">
        <v>5</v>
      </c>
      <c r="D41" s="1" t="s">
        <v>19</v>
      </c>
      <c r="E41" s="1" t="s">
        <v>5</v>
      </c>
      <c r="F41" s="1" t="s">
        <v>54</v>
      </c>
      <c r="G41" s="1" t="n">
        <v>1</v>
      </c>
      <c r="H41" s="1" t="n">
        <v>0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1" t="s">
        <v>103</v>
      </c>
      <c r="D42" s="1" t="s">
        <v>104</v>
      </c>
      <c r="E42" s="1" t="s">
        <v>104</v>
      </c>
      <c r="F42" s="1" t="s">
        <v>34</v>
      </c>
      <c r="G42" s="1" t="n">
        <v>1</v>
      </c>
      <c r="H42" s="1" t="n">
        <v>4</v>
      </c>
    </row>
    <row r="43" customFormat="false" ht="15" hidden="false" customHeight="false" outlineLevel="0" collapsed="false">
      <c r="A43" s="1" t="n">
        <v>5</v>
      </c>
      <c r="B43" s="1" t="n">
        <v>2</v>
      </c>
      <c r="C43" s="1" t="s">
        <v>105</v>
      </c>
      <c r="D43" s="1" t="s">
        <v>45</v>
      </c>
      <c r="E43" s="1" t="s">
        <v>45</v>
      </c>
      <c r="F43" s="1" t="s">
        <v>37</v>
      </c>
      <c r="G43" s="1" t="n">
        <v>1</v>
      </c>
      <c r="H43" s="1" t="n">
        <v>1</v>
      </c>
    </row>
    <row r="44" customFormat="false" ht="15" hidden="false" customHeight="false" outlineLevel="0" collapsed="false">
      <c r="A44" s="1" t="n">
        <v>5</v>
      </c>
      <c r="B44" s="1" t="n">
        <v>3</v>
      </c>
      <c r="C44" s="1" t="s">
        <v>106</v>
      </c>
      <c r="D44" s="1" t="s">
        <v>101</v>
      </c>
      <c r="E44" s="1" t="s">
        <v>101</v>
      </c>
      <c r="F44" s="1" t="s">
        <v>37</v>
      </c>
      <c r="G44" s="1" t="n">
        <v>1</v>
      </c>
      <c r="H44" s="1" t="n">
        <v>2</v>
      </c>
    </row>
    <row r="45" customFormat="false" ht="15" hidden="false" customHeight="false" outlineLevel="0" collapsed="false">
      <c r="A45" s="1" t="n">
        <v>5</v>
      </c>
      <c r="B45" s="1" t="n">
        <v>4</v>
      </c>
      <c r="C45" s="1" t="s">
        <v>107</v>
      </c>
      <c r="D45" s="1" t="s">
        <v>108</v>
      </c>
      <c r="E45" s="1" t="s">
        <v>108</v>
      </c>
      <c r="F45" s="1" t="s">
        <v>37</v>
      </c>
      <c r="G45" s="1" t="n">
        <v>1</v>
      </c>
      <c r="H45" s="1" t="n">
        <v>0</v>
      </c>
    </row>
    <row r="46" customFormat="false" ht="15" hidden="false" customHeight="false" outlineLevel="0" collapsed="false">
      <c r="A46" s="1" t="n">
        <v>5</v>
      </c>
      <c r="B46" s="1" t="n">
        <v>5</v>
      </c>
      <c r="C46" s="1" t="s">
        <v>109</v>
      </c>
      <c r="D46" s="1" t="s">
        <v>110</v>
      </c>
      <c r="E46" s="1" t="s">
        <v>110</v>
      </c>
      <c r="F46" s="1" t="s">
        <v>47</v>
      </c>
      <c r="G46" s="1" t="n">
        <v>1</v>
      </c>
      <c r="H46" s="1" t="n">
        <v>3</v>
      </c>
    </row>
    <row r="47" customFormat="false" ht="15" hidden="false" customHeight="false" outlineLevel="0" collapsed="false">
      <c r="A47" s="1" t="n">
        <v>5</v>
      </c>
      <c r="B47" s="1" t="n">
        <v>6</v>
      </c>
      <c r="C47" s="1" t="s">
        <v>111</v>
      </c>
      <c r="D47" s="1" t="s">
        <v>112</v>
      </c>
      <c r="E47" s="1" t="s">
        <v>112</v>
      </c>
      <c r="F47" s="1" t="s">
        <v>47</v>
      </c>
      <c r="G47" s="1" t="n">
        <v>1</v>
      </c>
      <c r="H47" s="1" t="n">
        <v>0</v>
      </c>
    </row>
    <row r="48" customFormat="false" ht="15" hidden="false" customHeight="false" outlineLevel="0" collapsed="false">
      <c r="A48" s="1" t="n">
        <v>5</v>
      </c>
      <c r="B48" s="1" t="n">
        <v>7</v>
      </c>
      <c r="C48" s="1" t="s">
        <v>46</v>
      </c>
      <c r="D48" s="1" t="s">
        <v>46</v>
      </c>
      <c r="E48" s="1" t="s">
        <v>46</v>
      </c>
      <c r="F48" s="1" t="s">
        <v>47</v>
      </c>
      <c r="G48" s="1" t="n">
        <v>1</v>
      </c>
      <c r="H48" s="1" t="n">
        <v>0</v>
      </c>
    </row>
    <row r="49" customFormat="false" ht="15" hidden="false" customHeight="false" outlineLevel="0" collapsed="false">
      <c r="A49" s="1" t="n">
        <v>5</v>
      </c>
      <c r="B49" s="1" t="n">
        <v>8</v>
      </c>
      <c r="C49" s="1" t="s">
        <v>113</v>
      </c>
      <c r="D49" s="1" t="s">
        <v>114</v>
      </c>
      <c r="E49" s="1" t="s">
        <v>114</v>
      </c>
      <c r="F49" s="1" t="s">
        <v>47</v>
      </c>
      <c r="G49" s="1" t="n">
        <v>1</v>
      </c>
      <c r="H49" s="1" t="n">
        <v>3</v>
      </c>
    </row>
    <row r="50" customFormat="false" ht="15" hidden="false" customHeight="false" outlineLevel="0" collapsed="false">
      <c r="A50" s="1" t="n">
        <v>5</v>
      </c>
      <c r="B50" s="1" t="n">
        <v>99</v>
      </c>
      <c r="C50" s="1" t="s">
        <v>11</v>
      </c>
      <c r="D50" s="1" t="s">
        <v>19</v>
      </c>
      <c r="E50" s="1" t="s">
        <v>11</v>
      </c>
      <c r="F50" s="1" t="s">
        <v>54</v>
      </c>
      <c r="G50" s="1" t="n">
        <v>1</v>
      </c>
      <c r="H50" s="1" t="n">
        <v>0</v>
      </c>
    </row>
    <row r="51" customFormat="false" ht="15" hidden="false" customHeight="false" outlineLevel="0" collapsed="false">
      <c r="A51" s="1" t="n">
        <v>6</v>
      </c>
      <c r="B51" s="1" t="n">
        <v>1</v>
      </c>
      <c r="C51" s="1" t="s">
        <v>116</v>
      </c>
      <c r="D51" s="1" t="s">
        <v>96</v>
      </c>
      <c r="E51" s="1" t="s">
        <v>96</v>
      </c>
      <c r="F51" s="1" t="s">
        <v>34</v>
      </c>
      <c r="G51" s="1" t="n">
        <v>1</v>
      </c>
      <c r="H51" s="1" t="n">
        <v>1</v>
      </c>
    </row>
    <row r="52" customFormat="false" ht="15" hidden="false" customHeight="false" outlineLevel="0" collapsed="false">
      <c r="A52" s="1" t="n">
        <v>6</v>
      </c>
      <c r="B52" s="1" t="n">
        <v>5</v>
      </c>
      <c r="C52" s="1" t="s">
        <v>122</v>
      </c>
      <c r="D52" s="1" t="s">
        <v>123</v>
      </c>
      <c r="E52" s="1" t="s">
        <v>123</v>
      </c>
      <c r="F52" s="1" t="s">
        <v>47</v>
      </c>
      <c r="G52" s="1" t="n">
        <v>1</v>
      </c>
      <c r="H52" s="1" t="n">
        <v>4</v>
      </c>
    </row>
    <row r="53" customFormat="false" ht="15" hidden="false" customHeight="false" outlineLevel="0" collapsed="false">
      <c r="A53" s="1" t="n">
        <v>6</v>
      </c>
      <c r="B53" s="1" t="n">
        <v>3</v>
      </c>
      <c r="C53" s="1" t="s">
        <v>119</v>
      </c>
      <c r="D53" s="1" t="s">
        <v>117</v>
      </c>
      <c r="E53" s="1" t="s">
        <v>117</v>
      </c>
      <c r="F53" s="1" t="s">
        <v>37</v>
      </c>
      <c r="G53" s="1" t="n">
        <v>1</v>
      </c>
      <c r="H53" s="1" t="n">
        <v>2</v>
      </c>
    </row>
    <row r="54" customFormat="false" ht="15" hidden="false" customHeight="false" outlineLevel="0" collapsed="false">
      <c r="A54" s="1" t="n">
        <v>6</v>
      </c>
      <c r="B54" s="1" t="n">
        <v>2</v>
      </c>
      <c r="C54" s="1" t="s">
        <v>117</v>
      </c>
      <c r="D54" s="1" t="s">
        <v>118</v>
      </c>
      <c r="E54" s="1" t="s">
        <v>118</v>
      </c>
      <c r="F54" s="1" t="s">
        <v>37</v>
      </c>
      <c r="G54" s="1" t="n">
        <v>1</v>
      </c>
      <c r="H54" s="1" t="n">
        <v>3</v>
      </c>
    </row>
    <row r="55" customFormat="false" ht="15" hidden="false" customHeight="false" outlineLevel="0" collapsed="false">
      <c r="A55" s="1" t="n">
        <v>6</v>
      </c>
      <c r="B55" s="1" t="n">
        <v>6</v>
      </c>
      <c r="C55" s="1" t="s">
        <v>152</v>
      </c>
      <c r="D55" s="1" t="s">
        <v>125</v>
      </c>
      <c r="E55" s="1" t="s">
        <v>125</v>
      </c>
      <c r="F55" s="1" t="s">
        <v>47</v>
      </c>
      <c r="G55" s="1" t="n">
        <v>1</v>
      </c>
      <c r="H55" s="1" t="n">
        <v>0</v>
      </c>
    </row>
    <row r="56" customFormat="false" ht="15" hidden="false" customHeight="false" outlineLevel="0" collapsed="false">
      <c r="A56" s="1" t="n">
        <v>6</v>
      </c>
      <c r="B56" s="1" t="n">
        <v>10</v>
      </c>
      <c r="C56" s="1" t="s">
        <v>46</v>
      </c>
      <c r="D56" s="1" t="s">
        <v>46</v>
      </c>
      <c r="E56" s="1" t="s">
        <v>46</v>
      </c>
      <c r="F56" s="1" t="s">
        <v>47</v>
      </c>
      <c r="G56" s="1" t="n">
        <v>1</v>
      </c>
      <c r="H56" s="1" t="n">
        <v>0</v>
      </c>
    </row>
    <row r="57" customFormat="false" ht="15" hidden="false" customHeight="false" outlineLevel="0" collapsed="false">
      <c r="A57" s="1" t="n">
        <v>6</v>
      </c>
      <c r="B57" s="1" t="n">
        <v>99</v>
      </c>
      <c r="C57" s="1" t="s">
        <v>22</v>
      </c>
      <c r="D57" s="1" t="s">
        <v>19</v>
      </c>
      <c r="E57" s="1" t="s">
        <v>22</v>
      </c>
      <c r="F57" s="1" t="s">
        <v>54</v>
      </c>
      <c r="G57" s="1" t="n">
        <v>1</v>
      </c>
      <c r="H57" s="1" t="n">
        <v>0</v>
      </c>
    </row>
    <row r="58" customFormat="false" ht="15" hidden="false" customHeight="false" outlineLevel="0" collapsed="false">
      <c r="A58" s="1" t="n">
        <v>7</v>
      </c>
      <c r="B58" s="1" t="n">
        <v>1</v>
      </c>
      <c r="C58" s="1" t="s">
        <v>135</v>
      </c>
      <c r="D58" s="1" t="s">
        <v>136</v>
      </c>
      <c r="E58" s="1" t="s">
        <v>136</v>
      </c>
      <c r="F58" s="1" t="s">
        <v>34</v>
      </c>
      <c r="G58" s="1" t="n">
        <v>1</v>
      </c>
      <c r="H58" s="1" t="n">
        <v>0</v>
      </c>
    </row>
    <row r="59" customFormat="false" ht="15" hidden="false" customHeight="false" outlineLevel="0" collapsed="false">
      <c r="A59" s="1" t="n">
        <v>7</v>
      </c>
      <c r="B59" s="1" t="n">
        <v>2</v>
      </c>
      <c r="C59" s="1" t="s">
        <v>137</v>
      </c>
      <c r="D59" s="1" t="s">
        <v>138</v>
      </c>
      <c r="E59" s="1" t="s">
        <v>138</v>
      </c>
      <c r="F59" s="1" t="s">
        <v>37</v>
      </c>
      <c r="G59" s="1" t="n">
        <v>1</v>
      </c>
      <c r="H59" s="1" t="n">
        <v>4</v>
      </c>
    </row>
    <row r="60" customFormat="false" ht="15" hidden="false" customHeight="false" outlineLevel="0" collapsed="false">
      <c r="A60" s="1" t="n">
        <v>7</v>
      </c>
      <c r="B60" s="1" t="n">
        <v>3</v>
      </c>
      <c r="C60" s="1" t="s">
        <v>139</v>
      </c>
      <c r="D60" s="1" t="s">
        <v>140</v>
      </c>
      <c r="E60" s="1" t="s">
        <v>140</v>
      </c>
      <c r="F60" s="1" t="s">
        <v>37</v>
      </c>
      <c r="G60" s="1" t="n">
        <v>1</v>
      </c>
      <c r="H60" s="1" t="n">
        <v>2</v>
      </c>
    </row>
    <row r="61" customFormat="false" ht="15" hidden="false" customHeight="false" outlineLevel="0" collapsed="false">
      <c r="A61" s="1" t="n">
        <v>7</v>
      </c>
      <c r="B61" s="1" t="n">
        <v>4</v>
      </c>
      <c r="C61" s="1" t="s">
        <v>141</v>
      </c>
      <c r="D61" s="1" t="s">
        <v>75</v>
      </c>
      <c r="E61" s="1" t="s">
        <v>75</v>
      </c>
      <c r="F61" s="1" t="s">
        <v>37</v>
      </c>
      <c r="G61" s="1" t="n">
        <v>1</v>
      </c>
      <c r="H61" s="1" t="n">
        <v>3</v>
      </c>
    </row>
    <row r="62" customFormat="false" ht="15" hidden="false" customHeight="false" outlineLevel="0" collapsed="false">
      <c r="A62" s="1" t="n">
        <v>7</v>
      </c>
      <c r="B62" s="1" t="n">
        <v>5</v>
      </c>
      <c r="C62" s="1" t="s">
        <v>142</v>
      </c>
      <c r="D62" s="1" t="s">
        <v>143</v>
      </c>
      <c r="E62" s="1" t="s">
        <v>143</v>
      </c>
      <c r="F62" s="1" t="s">
        <v>47</v>
      </c>
      <c r="G62" s="1" t="n">
        <v>1</v>
      </c>
      <c r="H62" s="1" t="n">
        <v>0</v>
      </c>
    </row>
    <row r="63" customFormat="false" ht="15" hidden="false" customHeight="false" outlineLevel="0" collapsed="false">
      <c r="A63" s="1" t="n">
        <v>7</v>
      </c>
      <c r="B63" s="1" t="n">
        <v>8</v>
      </c>
      <c r="C63" s="1" t="s">
        <v>46</v>
      </c>
      <c r="D63" s="1" t="s">
        <v>46</v>
      </c>
      <c r="E63" s="1" t="s">
        <v>46</v>
      </c>
      <c r="F63" s="1" t="s">
        <v>47</v>
      </c>
      <c r="G63" s="1" t="n">
        <v>1</v>
      </c>
      <c r="H63" s="1" t="n">
        <v>0</v>
      </c>
    </row>
    <row r="64" customFormat="false" ht="15" hidden="false" customHeight="false" outlineLevel="0" collapsed="false">
      <c r="A64" s="1" t="n">
        <v>7</v>
      </c>
      <c r="B64" s="1" t="n">
        <v>99</v>
      </c>
      <c r="C64" s="1" t="s">
        <v>23</v>
      </c>
      <c r="D64" s="1" t="s">
        <v>19</v>
      </c>
      <c r="E64" s="1" t="s">
        <v>23</v>
      </c>
      <c r="F64" s="1" t="s">
        <v>54</v>
      </c>
      <c r="G64" s="1" t="n">
        <v>1</v>
      </c>
      <c r="H64" s="1" t="n">
        <v>0</v>
      </c>
    </row>
    <row r="65" customFormat="false" ht="15" hidden="false" customHeight="false" outlineLevel="0" collapsed="false">
      <c r="A65" s="1" t="n">
        <v>1</v>
      </c>
      <c r="B65" s="1" t="n">
        <v>1</v>
      </c>
      <c r="C65" s="1" t="s">
        <v>32</v>
      </c>
      <c r="D65" s="1" t="s">
        <v>33</v>
      </c>
      <c r="E65" s="1" t="s">
        <v>33</v>
      </c>
      <c r="F65" s="1" t="s">
        <v>34</v>
      </c>
      <c r="G65" s="1" t="n">
        <v>1</v>
      </c>
      <c r="H65" s="1" t="n">
        <v>1</v>
      </c>
    </row>
    <row r="66" customFormat="false" ht="15" hidden="false" customHeight="false" outlineLevel="0" collapsed="false">
      <c r="A66" s="1" t="n">
        <v>1</v>
      </c>
      <c r="B66" s="1" t="n">
        <v>2</v>
      </c>
      <c r="C66" s="1" t="s">
        <v>35</v>
      </c>
      <c r="D66" s="1" t="s">
        <v>36</v>
      </c>
      <c r="E66" s="1" t="s">
        <v>36</v>
      </c>
      <c r="F66" s="1" t="s">
        <v>37</v>
      </c>
      <c r="G66" s="1" t="n">
        <v>1</v>
      </c>
      <c r="H66" s="1" t="n">
        <v>4</v>
      </c>
    </row>
    <row r="67" customFormat="false" ht="15" hidden="false" customHeight="false" outlineLevel="0" collapsed="false">
      <c r="A67" s="1" t="n">
        <v>1</v>
      </c>
      <c r="B67" s="1" t="n">
        <v>3</v>
      </c>
      <c r="C67" s="1" t="s">
        <v>38</v>
      </c>
      <c r="D67" s="1" t="s">
        <v>39</v>
      </c>
      <c r="E67" s="1" t="s">
        <v>39</v>
      </c>
      <c r="F67" s="1" t="s">
        <v>37</v>
      </c>
      <c r="G67" s="1" t="n">
        <v>1</v>
      </c>
      <c r="H67" s="1" t="n">
        <v>2</v>
      </c>
    </row>
    <row r="68" customFormat="false" ht="15" hidden="false" customHeight="false" outlineLevel="0" collapsed="false">
      <c r="A68" s="1" t="n">
        <v>1</v>
      </c>
      <c r="B68" s="1" t="n">
        <v>4</v>
      </c>
      <c r="C68" s="1" t="s">
        <v>40</v>
      </c>
      <c r="D68" s="1" t="s">
        <v>41</v>
      </c>
      <c r="E68" s="1" t="s">
        <v>41</v>
      </c>
      <c r="F68" s="1" t="s">
        <v>37</v>
      </c>
      <c r="G68" s="1" t="n">
        <v>1</v>
      </c>
      <c r="H68" s="1" t="n">
        <v>3</v>
      </c>
    </row>
    <row r="69" customFormat="false" ht="15" hidden="false" customHeight="false" outlineLevel="0" collapsed="false">
      <c r="A69" s="1" t="n">
        <v>1</v>
      </c>
      <c r="B69" s="1" t="n">
        <v>5</v>
      </c>
      <c r="C69" s="1" t="s">
        <v>42</v>
      </c>
      <c r="D69" s="1" t="s">
        <v>43</v>
      </c>
      <c r="E69" s="1" t="s">
        <v>43</v>
      </c>
      <c r="F69" s="1" t="s">
        <v>37</v>
      </c>
      <c r="G69" s="1" t="n">
        <v>1</v>
      </c>
      <c r="H69" s="1" t="n">
        <v>0</v>
      </c>
    </row>
    <row r="70" customFormat="false" ht="15" hidden="false" customHeight="false" outlineLevel="0" collapsed="false">
      <c r="A70" s="1" t="n">
        <v>1</v>
      </c>
      <c r="B70" s="1" t="n">
        <v>8</v>
      </c>
      <c r="C70" s="1" t="s">
        <v>48</v>
      </c>
      <c r="D70" s="1" t="s">
        <v>49</v>
      </c>
      <c r="E70" s="1" t="s">
        <v>49</v>
      </c>
      <c r="F70" s="1" t="s">
        <v>47</v>
      </c>
      <c r="G70" s="1" t="n">
        <v>1</v>
      </c>
      <c r="H70" s="1" t="n">
        <v>0</v>
      </c>
    </row>
    <row r="71" customFormat="false" ht="15" hidden="false" customHeight="false" outlineLevel="0" collapsed="false">
      <c r="A71" s="1" t="n">
        <v>7</v>
      </c>
      <c r="B71" s="1" t="n">
        <v>12</v>
      </c>
      <c r="C71" s="1" t="s">
        <v>146</v>
      </c>
      <c r="D71" s="1" t="s">
        <v>147</v>
      </c>
      <c r="E71" s="1" t="s">
        <v>147</v>
      </c>
      <c r="F71" s="1" t="s">
        <v>47</v>
      </c>
      <c r="G71" s="1" t="n">
        <v>1</v>
      </c>
      <c r="H71" s="1" t="n">
        <v>0</v>
      </c>
    </row>
    <row r="72" customFormat="false" ht="15" hidden="false" customHeight="false" outlineLevel="0" collapsed="false">
      <c r="A72" s="1" t="n">
        <v>6</v>
      </c>
      <c r="B72" s="1" t="n">
        <v>11</v>
      </c>
      <c r="C72" s="1" t="s">
        <v>132</v>
      </c>
      <c r="D72" s="1" t="s">
        <v>77</v>
      </c>
      <c r="E72" s="1" t="s">
        <v>77</v>
      </c>
      <c r="F72" s="1" t="s">
        <v>47</v>
      </c>
      <c r="G72" s="1" t="n">
        <v>1</v>
      </c>
      <c r="H72" s="1" t="n">
        <v>0</v>
      </c>
    </row>
    <row r="73" customFormat="false" ht="15" hidden="false" customHeight="false" outlineLevel="0" collapsed="false">
      <c r="A73" s="1" t="n">
        <v>6</v>
      </c>
      <c r="B73" s="1" t="n">
        <v>12</v>
      </c>
      <c r="C73" s="1" t="s">
        <v>133</v>
      </c>
      <c r="D73" s="1" t="s">
        <v>134</v>
      </c>
      <c r="E73" s="1" t="s">
        <v>134</v>
      </c>
      <c r="F73" s="1" t="s">
        <v>47</v>
      </c>
      <c r="G73" s="1" t="n">
        <v>1</v>
      </c>
      <c r="H7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2023-10-18T20:09:42Z</dcterms:created>
  <dc:creator>Sirois, Martin (StatCan)</dc:creator>
  <dc:description/>
  <dc:language>fr-CA</dc:language>
  <cp:lastModifiedBy/>
  <dcterms:modified xsi:type="dcterms:W3CDTF">2025-11-13T13:10:48Z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